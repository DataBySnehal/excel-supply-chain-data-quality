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yProjects\SNEHAL\excel\"/>
    </mc:Choice>
  </mc:AlternateContent>
  <xr:revisionPtr revIDLastSave="0" documentId="13_ncr:20001_{E03A0770-8541-4C16-90BA-AA092AD1FE8D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Product_Master" sheetId="1" r:id="rId1"/>
    <sheet name="Planning_Data" sheetId="2" r:id="rId2"/>
    <sheet name="Instructions" sheetId="3" r:id="rId3"/>
  </sheets>
  <definedNames>
    <definedName name="_xlnm._FilterDatabase" localSheetId="2" hidden="1">Instructions!$A$1:$B$11</definedName>
    <definedName name="_xlnm._FilterDatabase" localSheetId="1" hidden="1">Planning_Data!$N$1:$N$201</definedName>
    <definedName name="_xlnm._FilterDatabase" localSheetId="0" hidden="1">Product_Master!$A$1:$D$101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P2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N187" i="2" s="1"/>
  <c r="H188" i="2"/>
  <c r="N188" i="2" s="1"/>
  <c r="H189" i="2"/>
  <c r="N189" i="2" s="1"/>
  <c r="H190" i="2"/>
  <c r="N190" i="2" s="1"/>
  <c r="H191" i="2"/>
  <c r="N191" i="2" s="1"/>
  <c r="H192" i="2"/>
  <c r="N192" i="2" s="1"/>
  <c r="H193" i="2"/>
  <c r="N193" i="2" s="1"/>
  <c r="H194" i="2"/>
  <c r="N194" i="2" s="1"/>
  <c r="H195" i="2"/>
  <c r="N195" i="2" s="1"/>
  <c r="H196" i="2"/>
  <c r="N196" i="2" s="1"/>
  <c r="H197" i="2"/>
  <c r="N197" i="2" s="1"/>
  <c r="H198" i="2"/>
  <c r="N198" i="2" s="1"/>
  <c r="H199" i="2"/>
  <c r="N199" i="2" s="1"/>
  <c r="H200" i="2"/>
  <c r="N200" i="2" s="1"/>
  <c r="H201" i="2"/>
  <c r="N201" i="2" s="1"/>
  <c r="H2" i="2"/>
  <c r="N2" i="2" s="1"/>
  <c r="G5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N3" i="2" l="1"/>
  <c r="N8" i="2"/>
  <c r="N12" i="2"/>
  <c r="N14" i="2"/>
  <c r="N16" i="2"/>
  <c r="N18" i="2"/>
  <c r="N20" i="2"/>
  <c r="N22" i="2"/>
  <c r="N24" i="2"/>
  <c r="N26" i="2"/>
  <c r="N28" i="2"/>
  <c r="N30" i="2"/>
  <c r="N32" i="2"/>
  <c r="N34" i="2"/>
  <c r="N36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64" i="2"/>
  <c r="N66" i="2"/>
  <c r="N68" i="2"/>
  <c r="N70" i="2"/>
  <c r="N72" i="2"/>
  <c r="N74" i="2"/>
  <c r="N76" i="2"/>
  <c r="N78" i="2"/>
  <c r="N80" i="2"/>
  <c r="N82" i="2"/>
  <c r="N84" i="2"/>
  <c r="N86" i="2"/>
  <c r="N88" i="2"/>
  <c r="N90" i="2"/>
  <c r="N92" i="2"/>
  <c r="N94" i="2"/>
  <c r="N96" i="2"/>
  <c r="N98" i="2"/>
  <c r="N100" i="2"/>
  <c r="N102" i="2"/>
  <c r="N104" i="2"/>
  <c r="N106" i="2"/>
  <c r="N108" i="2"/>
  <c r="N110" i="2"/>
  <c r="N112" i="2"/>
  <c r="N114" i="2"/>
  <c r="N116" i="2"/>
  <c r="N118" i="2"/>
  <c r="N120" i="2"/>
  <c r="N122" i="2"/>
  <c r="N124" i="2"/>
  <c r="N126" i="2"/>
  <c r="N128" i="2"/>
  <c r="N130" i="2"/>
  <c r="N132" i="2"/>
  <c r="N134" i="2"/>
  <c r="N136" i="2"/>
  <c r="N138" i="2"/>
  <c r="N140" i="2"/>
  <c r="N142" i="2"/>
  <c r="N144" i="2"/>
  <c r="N146" i="2"/>
  <c r="N149" i="2"/>
  <c r="N151" i="2"/>
  <c r="N153" i="2"/>
  <c r="N155" i="2"/>
  <c r="N157" i="2"/>
  <c r="N159" i="2"/>
  <c r="N161" i="2"/>
  <c r="N163" i="2"/>
  <c r="N165" i="2"/>
  <c r="N167" i="2"/>
  <c r="N169" i="2"/>
  <c r="N170" i="2"/>
  <c r="N172" i="2"/>
  <c r="N175" i="2"/>
  <c r="N177" i="2"/>
  <c r="N179" i="2"/>
  <c r="N181" i="2"/>
  <c r="N183" i="2"/>
  <c r="N185" i="2"/>
  <c r="N4" i="2"/>
  <c r="N5" i="2"/>
  <c r="N6" i="2"/>
  <c r="N7" i="2"/>
  <c r="N9" i="2"/>
  <c r="N10" i="2"/>
  <c r="N11" i="2"/>
  <c r="N13" i="2"/>
  <c r="N15" i="2"/>
  <c r="N17" i="2"/>
  <c r="N19" i="2"/>
  <c r="N21" i="2"/>
  <c r="N23" i="2"/>
  <c r="N25" i="2"/>
  <c r="N27" i="2"/>
  <c r="N29" i="2"/>
  <c r="N31" i="2"/>
  <c r="N33" i="2"/>
  <c r="N35" i="2"/>
  <c r="N37" i="2"/>
  <c r="N39" i="2"/>
  <c r="N41" i="2"/>
  <c r="N43" i="2"/>
  <c r="N45" i="2"/>
  <c r="N47" i="2"/>
  <c r="N49" i="2"/>
  <c r="N51" i="2"/>
  <c r="N53" i="2"/>
  <c r="N55" i="2"/>
  <c r="N57" i="2"/>
  <c r="N59" i="2"/>
  <c r="N61" i="2"/>
  <c r="N63" i="2"/>
  <c r="N65" i="2"/>
  <c r="N67" i="2"/>
  <c r="N69" i="2"/>
  <c r="N71" i="2"/>
  <c r="N73" i="2"/>
  <c r="N75" i="2"/>
  <c r="N77" i="2"/>
  <c r="N79" i="2"/>
  <c r="N81" i="2"/>
  <c r="N83" i="2"/>
  <c r="N85" i="2"/>
  <c r="N87" i="2"/>
  <c r="N89" i="2"/>
  <c r="N91" i="2"/>
  <c r="N93" i="2"/>
  <c r="N95" i="2"/>
  <c r="N97" i="2"/>
  <c r="N99" i="2"/>
  <c r="N101" i="2"/>
  <c r="N103" i="2"/>
  <c r="N105" i="2"/>
  <c r="N107" i="2"/>
  <c r="N109" i="2"/>
  <c r="N111" i="2"/>
  <c r="N113" i="2"/>
  <c r="N115" i="2"/>
  <c r="N117" i="2"/>
  <c r="N119" i="2"/>
  <c r="N121" i="2"/>
  <c r="N123" i="2"/>
  <c r="N125" i="2"/>
  <c r="N127" i="2"/>
  <c r="N129" i="2"/>
  <c r="N131" i="2"/>
  <c r="N133" i="2"/>
  <c r="N135" i="2"/>
  <c r="N137" i="2"/>
  <c r="N139" i="2"/>
  <c r="N141" i="2"/>
  <c r="N143" i="2"/>
  <c r="N145" i="2"/>
  <c r="N147" i="2"/>
  <c r="N148" i="2"/>
  <c r="N150" i="2"/>
  <c r="N152" i="2"/>
  <c r="N154" i="2"/>
  <c r="N156" i="2"/>
  <c r="N158" i="2"/>
  <c r="N160" i="2"/>
  <c r="N162" i="2"/>
  <c r="N164" i="2"/>
  <c r="N166" i="2"/>
  <c r="N168" i="2"/>
  <c r="N171" i="2"/>
  <c r="N173" i="2"/>
  <c r="N174" i="2"/>
  <c r="N176" i="2"/>
  <c r="N178" i="2"/>
  <c r="N180" i="2"/>
  <c r="N182" i="2"/>
  <c r="N184" i="2"/>
  <c r="N186" i="2"/>
</calcChain>
</file>

<file path=xl/sharedStrings.xml><?xml version="1.0" encoding="utf-8"?>
<sst xmlns="http://schemas.openxmlformats.org/spreadsheetml/2006/main" count="737" uniqueCount="442">
  <si>
    <t>Product_ID</t>
  </si>
  <si>
    <t>Product_Name</t>
  </si>
  <si>
    <t>Category</t>
  </si>
  <si>
    <t>Standard_Lead_Time</t>
  </si>
  <si>
    <t>P001</t>
  </si>
  <si>
    <t>Yogurt 1</t>
  </si>
  <si>
    <t>Dairy</t>
  </si>
  <si>
    <t>P002</t>
  </si>
  <si>
    <t>Formula 2</t>
  </si>
  <si>
    <t>Nutrition</t>
  </si>
  <si>
    <t>P003</t>
  </si>
  <si>
    <t>Juice 3</t>
  </si>
  <si>
    <t>Beverages</t>
  </si>
  <si>
    <t>P004</t>
  </si>
  <si>
    <t>Snack Bar 4</t>
  </si>
  <si>
    <t>Snacks</t>
  </si>
  <si>
    <t>P005</t>
  </si>
  <si>
    <t>Oat Cereal 5</t>
  </si>
  <si>
    <t>Cereals</t>
  </si>
  <si>
    <t>P006</t>
  </si>
  <si>
    <t>Milk 6</t>
  </si>
  <si>
    <t>P007</t>
  </si>
  <si>
    <t>Nutrition Drink 7</t>
  </si>
  <si>
    <t>P008</t>
  </si>
  <si>
    <t>Water 8</t>
  </si>
  <si>
    <t>P009</t>
  </si>
  <si>
    <t>Cracker 9</t>
  </si>
  <si>
    <t>P010</t>
  </si>
  <si>
    <t>Corn Flakes 10</t>
  </si>
  <si>
    <t>P011</t>
  </si>
  <si>
    <t>Cheese 11</t>
  </si>
  <si>
    <t>P012</t>
  </si>
  <si>
    <t>Powder Mix 12</t>
  </si>
  <si>
    <t>P013</t>
  </si>
  <si>
    <t>Fruit Drink 13</t>
  </si>
  <si>
    <t>P014</t>
  </si>
  <si>
    <t>Fruit Snack 14</t>
  </si>
  <si>
    <t>P015</t>
  </si>
  <si>
    <t>Granola 15</t>
  </si>
  <si>
    <t>P016</t>
  </si>
  <si>
    <t>Kefir 16</t>
  </si>
  <si>
    <t>P017</t>
  </si>
  <si>
    <t>Baby Cereal 17</t>
  </si>
  <si>
    <t>P018</t>
  </si>
  <si>
    <t>Smoothie 18</t>
  </si>
  <si>
    <t>P019</t>
  </si>
  <si>
    <t>Biscuit 19</t>
  </si>
  <si>
    <t>P020</t>
  </si>
  <si>
    <t>Muesli 20</t>
  </si>
  <si>
    <t>P021</t>
  </si>
  <si>
    <t>Cream 21</t>
  </si>
  <si>
    <t>P022</t>
  </si>
  <si>
    <t>Nutrient Blend 22</t>
  </si>
  <si>
    <t>P023</t>
  </si>
  <si>
    <t>Tea 23</t>
  </si>
  <si>
    <t>P024</t>
  </si>
  <si>
    <t>Nut Mix 24</t>
  </si>
  <si>
    <t>P025</t>
  </si>
  <si>
    <t>Rice Cereal 25</t>
  </si>
  <si>
    <t>P026</t>
  </si>
  <si>
    <t>Yogurt 26</t>
  </si>
  <si>
    <t>P027</t>
  </si>
  <si>
    <t>Formula 27</t>
  </si>
  <si>
    <t>P028</t>
  </si>
  <si>
    <t>Juice 28</t>
  </si>
  <si>
    <t>P029</t>
  </si>
  <si>
    <t>Snack Bar 29</t>
  </si>
  <si>
    <t>P030</t>
  </si>
  <si>
    <t>Oat Cereal 30</t>
  </si>
  <si>
    <t>P031</t>
  </si>
  <si>
    <t>Milk 31</t>
  </si>
  <si>
    <t>P032</t>
  </si>
  <si>
    <t>Nutrition Drink 32</t>
  </si>
  <si>
    <t>P033</t>
  </si>
  <si>
    <t>Water 33</t>
  </si>
  <si>
    <t>P034</t>
  </si>
  <si>
    <t>Cracker 34</t>
  </si>
  <si>
    <t>P035</t>
  </si>
  <si>
    <t>Corn Flakes 35</t>
  </si>
  <si>
    <t>P036</t>
  </si>
  <si>
    <t>Cheese 36</t>
  </si>
  <si>
    <t>P037</t>
  </si>
  <si>
    <t>Powder Mix 37</t>
  </si>
  <si>
    <t>P038</t>
  </si>
  <si>
    <t>Fruit Drink 38</t>
  </si>
  <si>
    <t>P039</t>
  </si>
  <si>
    <t>Fruit Snack 39</t>
  </si>
  <si>
    <t>P040</t>
  </si>
  <si>
    <t>Granola 40</t>
  </si>
  <si>
    <t>P041</t>
  </si>
  <si>
    <t>Kefir 41</t>
  </si>
  <si>
    <t>P042</t>
  </si>
  <si>
    <t>Baby Cereal 42</t>
  </si>
  <si>
    <t>P043</t>
  </si>
  <si>
    <t>Smoothie 43</t>
  </si>
  <si>
    <t>P044</t>
  </si>
  <si>
    <t>Biscuit 44</t>
  </si>
  <si>
    <t>P045</t>
  </si>
  <si>
    <t>Muesli 45</t>
  </si>
  <si>
    <t>P046</t>
  </si>
  <si>
    <t>Cream 46</t>
  </si>
  <si>
    <t>P047</t>
  </si>
  <si>
    <t>Nutrient Blend 47</t>
  </si>
  <si>
    <t>P048</t>
  </si>
  <si>
    <t>Tea 48</t>
  </si>
  <si>
    <t>P049</t>
  </si>
  <si>
    <t>Nut Mix 49</t>
  </si>
  <si>
    <t>P050</t>
  </si>
  <si>
    <t>Rice Cereal 50</t>
  </si>
  <si>
    <t>P051</t>
  </si>
  <si>
    <t>Yogurt 51</t>
  </si>
  <si>
    <t>P052</t>
  </si>
  <si>
    <t>Formula 52</t>
  </si>
  <si>
    <t>P053</t>
  </si>
  <si>
    <t>Juice 53</t>
  </si>
  <si>
    <t>P054</t>
  </si>
  <si>
    <t>Snack Bar 54</t>
  </si>
  <si>
    <t>P055</t>
  </si>
  <si>
    <t>Oat Cereal 55</t>
  </si>
  <si>
    <t>P056</t>
  </si>
  <si>
    <t>Milk 56</t>
  </si>
  <si>
    <t>P057</t>
  </si>
  <si>
    <t>Nutrition Drink 57</t>
  </si>
  <si>
    <t>P058</t>
  </si>
  <si>
    <t>Water 58</t>
  </si>
  <si>
    <t>P059</t>
  </si>
  <si>
    <t>Cracker 59</t>
  </si>
  <si>
    <t>P060</t>
  </si>
  <si>
    <t>Corn Flakes 60</t>
  </si>
  <si>
    <t>P061</t>
  </si>
  <si>
    <t>Cheese 61</t>
  </si>
  <si>
    <t>P062</t>
  </si>
  <si>
    <t>Powder Mix 62</t>
  </si>
  <si>
    <t>P063</t>
  </si>
  <si>
    <t>Fruit Drink 63</t>
  </si>
  <si>
    <t>P064</t>
  </si>
  <si>
    <t>Fruit Snack 64</t>
  </si>
  <si>
    <t>P065</t>
  </si>
  <si>
    <t>Granola 65</t>
  </si>
  <si>
    <t>P066</t>
  </si>
  <si>
    <t>Kefir 66</t>
  </si>
  <si>
    <t>P067</t>
  </si>
  <si>
    <t>Baby Cereal 67</t>
  </si>
  <si>
    <t>P068</t>
  </si>
  <si>
    <t>Smoothie 68</t>
  </si>
  <si>
    <t>P069</t>
  </si>
  <si>
    <t>Biscuit 69</t>
  </si>
  <si>
    <t>P070</t>
  </si>
  <si>
    <t>Muesli 70</t>
  </si>
  <si>
    <t>P071</t>
  </si>
  <si>
    <t>Cream 71</t>
  </si>
  <si>
    <t>P072</t>
  </si>
  <si>
    <t>Nutrient Blend 72</t>
  </si>
  <si>
    <t>P073</t>
  </si>
  <si>
    <t>Tea 73</t>
  </si>
  <si>
    <t>P074</t>
  </si>
  <si>
    <t>Nut Mix 74</t>
  </si>
  <si>
    <t>P075</t>
  </si>
  <si>
    <t>Rice Cereal 75</t>
  </si>
  <si>
    <t>P076</t>
  </si>
  <si>
    <t>Yogurt 76</t>
  </si>
  <si>
    <t>P077</t>
  </si>
  <si>
    <t>Formula 77</t>
  </si>
  <si>
    <t>P078</t>
  </si>
  <si>
    <t>Juice 78</t>
  </si>
  <si>
    <t>P079</t>
  </si>
  <si>
    <t>Snack Bar 79</t>
  </si>
  <si>
    <t>P080</t>
  </si>
  <si>
    <t>Oat Cereal 80</t>
  </si>
  <si>
    <t>P081</t>
  </si>
  <si>
    <t>Milk 81</t>
  </si>
  <si>
    <t>P082</t>
  </si>
  <si>
    <t>Nutrition Drink 82</t>
  </si>
  <si>
    <t>P083</t>
  </si>
  <si>
    <t>Water 83</t>
  </si>
  <si>
    <t>P084</t>
  </si>
  <si>
    <t>Cracker 84</t>
  </si>
  <si>
    <t>P085</t>
  </si>
  <si>
    <t>Corn Flakes 85</t>
  </si>
  <si>
    <t>P086</t>
  </si>
  <si>
    <t>Cheese 86</t>
  </si>
  <si>
    <t>P087</t>
  </si>
  <si>
    <t>Powder Mix 87</t>
  </si>
  <si>
    <t>P088</t>
  </si>
  <si>
    <t>Fruit Drink 88</t>
  </si>
  <si>
    <t>P089</t>
  </si>
  <si>
    <t>Fruit Snack 89</t>
  </si>
  <si>
    <t>P090</t>
  </si>
  <si>
    <t>Granola 90</t>
  </si>
  <si>
    <t>P091</t>
  </si>
  <si>
    <t>Kefir 91</t>
  </si>
  <si>
    <t>P092</t>
  </si>
  <si>
    <t>Baby Cereal 92</t>
  </si>
  <si>
    <t>P093</t>
  </si>
  <si>
    <t>Smoothie 93</t>
  </si>
  <si>
    <t>P094</t>
  </si>
  <si>
    <t>Biscuit 94</t>
  </si>
  <si>
    <t>P095</t>
  </si>
  <si>
    <t>Muesli 95</t>
  </si>
  <si>
    <t>P096</t>
  </si>
  <si>
    <t>Cream 96</t>
  </si>
  <si>
    <t>P097</t>
  </si>
  <si>
    <t>Nutrient Blend 97</t>
  </si>
  <si>
    <t>P098</t>
  </si>
  <si>
    <t>Tea 98</t>
  </si>
  <si>
    <t>P099</t>
  </si>
  <si>
    <t>Nut Mix 99</t>
  </si>
  <si>
    <t>P100</t>
  </si>
  <si>
    <t>Rice Cereal 100</t>
  </si>
  <si>
    <t>Planning_Date</t>
  </si>
  <si>
    <t>Planned_Quantity</t>
  </si>
  <si>
    <t>Lead_Time_Days</t>
  </si>
  <si>
    <t>Minimum_Order_Qty</t>
  </si>
  <si>
    <t>PL001</t>
  </si>
  <si>
    <t>PL002</t>
  </si>
  <si>
    <t>PL003</t>
  </si>
  <si>
    <t>PL004</t>
  </si>
  <si>
    <t>PL005</t>
  </si>
  <si>
    <t>PL006</t>
  </si>
  <si>
    <t>PL007</t>
  </si>
  <si>
    <t>PL008</t>
  </si>
  <si>
    <t>PL009</t>
  </si>
  <si>
    <t>P999</t>
  </si>
  <si>
    <t>PL010</t>
  </si>
  <si>
    <t>PL011</t>
  </si>
  <si>
    <t>PL012</t>
  </si>
  <si>
    <t>PL013</t>
  </si>
  <si>
    <t>PL014</t>
  </si>
  <si>
    <t>PL015</t>
  </si>
  <si>
    <t>PL016</t>
  </si>
  <si>
    <t>PL017</t>
  </si>
  <si>
    <t>PL018</t>
  </si>
  <si>
    <t>PL019</t>
  </si>
  <si>
    <t>PL020</t>
  </si>
  <si>
    <t>PL021</t>
  </si>
  <si>
    <t>PL022</t>
  </si>
  <si>
    <t>PL023</t>
  </si>
  <si>
    <t>PL024</t>
  </si>
  <si>
    <t>PL025</t>
  </si>
  <si>
    <t>PL026</t>
  </si>
  <si>
    <t>PL027</t>
  </si>
  <si>
    <t>PL028</t>
  </si>
  <si>
    <t>PL029</t>
  </si>
  <si>
    <t>PL030</t>
  </si>
  <si>
    <t>PL031</t>
  </si>
  <si>
    <t>PL032</t>
  </si>
  <si>
    <t>PL033</t>
  </si>
  <si>
    <t>PL034</t>
  </si>
  <si>
    <t>PL035</t>
  </si>
  <si>
    <t>PL036</t>
  </si>
  <si>
    <t>PL037</t>
  </si>
  <si>
    <t>PL038</t>
  </si>
  <si>
    <t>PL039</t>
  </si>
  <si>
    <t>PL040</t>
  </si>
  <si>
    <t>PL041</t>
  </si>
  <si>
    <t>PL042</t>
  </si>
  <si>
    <t>PL043</t>
  </si>
  <si>
    <t>PL044</t>
  </si>
  <si>
    <t>PL045</t>
  </si>
  <si>
    <t>PL046</t>
  </si>
  <si>
    <t>PL047</t>
  </si>
  <si>
    <t>PL048</t>
  </si>
  <si>
    <t>PL049</t>
  </si>
  <si>
    <t>PL050</t>
  </si>
  <si>
    <t>PL052</t>
  </si>
  <si>
    <t>PL053</t>
  </si>
  <si>
    <t>PL054</t>
  </si>
  <si>
    <t>PL055</t>
  </si>
  <si>
    <t>PL056</t>
  </si>
  <si>
    <t>PL057</t>
  </si>
  <si>
    <t>PL058</t>
  </si>
  <si>
    <t>PL059</t>
  </si>
  <si>
    <t>PL060</t>
  </si>
  <si>
    <t>PL061</t>
  </si>
  <si>
    <t>PL062</t>
  </si>
  <si>
    <t>PL063</t>
  </si>
  <si>
    <t>PL064</t>
  </si>
  <si>
    <t>PL065</t>
  </si>
  <si>
    <t>PL066</t>
  </si>
  <si>
    <t>PL067</t>
  </si>
  <si>
    <t>PL068</t>
  </si>
  <si>
    <t>PL069</t>
  </si>
  <si>
    <t>PL070</t>
  </si>
  <si>
    <t>PL071</t>
  </si>
  <si>
    <t>PL072</t>
  </si>
  <si>
    <t>PL073</t>
  </si>
  <si>
    <t>PL074</t>
  </si>
  <si>
    <t>PL075</t>
  </si>
  <si>
    <t>PL076</t>
  </si>
  <si>
    <t>PL077</t>
  </si>
  <si>
    <t>PL078</t>
  </si>
  <si>
    <t>PL079</t>
  </si>
  <si>
    <t>PL080</t>
  </si>
  <si>
    <t>PL081</t>
  </si>
  <si>
    <t>PL082</t>
  </si>
  <si>
    <t>PL083</t>
  </si>
  <si>
    <t>PL084</t>
  </si>
  <si>
    <t>PL085</t>
  </si>
  <si>
    <t>PL086</t>
  </si>
  <si>
    <t>PL087</t>
  </si>
  <si>
    <t>PL088</t>
  </si>
  <si>
    <t>PL089</t>
  </si>
  <si>
    <t>PL090</t>
  </si>
  <si>
    <t>PL091</t>
  </si>
  <si>
    <t>PL092</t>
  </si>
  <si>
    <t>PL093</t>
  </si>
  <si>
    <t>PL094</t>
  </si>
  <si>
    <t>PL095</t>
  </si>
  <si>
    <t>PL096</t>
  </si>
  <si>
    <t>PL097</t>
  </si>
  <si>
    <t>PL098</t>
  </si>
  <si>
    <t>PL099</t>
  </si>
  <si>
    <t>PL100</t>
  </si>
  <si>
    <t>PL101</t>
  </si>
  <si>
    <t>PL102</t>
  </si>
  <si>
    <t>PL103</t>
  </si>
  <si>
    <t>PL104</t>
  </si>
  <si>
    <t>PL105</t>
  </si>
  <si>
    <t>PL106</t>
  </si>
  <si>
    <t>PL107</t>
  </si>
  <si>
    <t>PL108</t>
  </si>
  <si>
    <t>PL109</t>
  </si>
  <si>
    <t>PL110</t>
  </si>
  <si>
    <t>PL111</t>
  </si>
  <si>
    <t>PL112</t>
  </si>
  <si>
    <t>PL113</t>
  </si>
  <si>
    <t>PL114</t>
  </si>
  <si>
    <t>PL115</t>
  </si>
  <si>
    <t>PL116</t>
  </si>
  <si>
    <t>PL117</t>
  </si>
  <si>
    <t>PL118</t>
  </si>
  <si>
    <t>PL119</t>
  </si>
  <si>
    <t>PL120</t>
  </si>
  <si>
    <t>PL121</t>
  </si>
  <si>
    <t>PL122</t>
  </si>
  <si>
    <t>PL123</t>
  </si>
  <si>
    <t>PL124</t>
  </si>
  <si>
    <t>PL125</t>
  </si>
  <si>
    <t>PL126</t>
  </si>
  <si>
    <t>PL127</t>
  </si>
  <si>
    <t>PL128</t>
  </si>
  <si>
    <t>PL129</t>
  </si>
  <si>
    <t>PL130</t>
  </si>
  <si>
    <t>PL131</t>
  </si>
  <si>
    <t>PL132</t>
  </si>
  <si>
    <t>PL133</t>
  </si>
  <si>
    <t>PL134</t>
  </si>
  <si>
    <t>PL135</t>
  </si>
  <si>
    <t>PL136</t>
  </si>
  <si>
    <t>PL137</t>
  </si>
  <si>
    <t>PL138</t>
  </si>
  <si>
    <t>PL139</t>
  </si>
  <si>
    <t>PL140</t>
  </si>
  <si>
    <t>PL141</t>
  </si>
  <si>
    <t>PL142</t>
  </si>
  <si>
    <t>PL143</t>
  </si>
  <si>
    <t>PL144</t>
  </si>
  <si>
    <t>PL145</t>
  </si>
  <si>
    <t>PL146</t>
  </si>
  <si>
    <t>not-a-date</t>
  </si>
  <si>
    <t>PL147</t>
  </si>
  <si>
    <t>PL148</t>
  </si>
  <si>
    <t>PL149</t>
  </si>
  <si>
    <t>PL150</t>
  </si>
  <si>
    <t>PL151</t>
  </si>
  <si>
    <t>PL152</t>
  </si>
  <si>
    <t>PL153</t>
  </si>
  <si>
    <t>PL154</t>
  </si>
  <si>
    <t>PL155</t>
  </si>
  <si>
    <t>PL156</t>
  </si>
  <si>
    <t>PL157</t>
  </si>
  <si>
    <t>PL158</t>
  </si>
  <si>
    <t>PL159</t>
  </si>
  <si>
    <t>PL160</t>
  </si>
  <si>
    <t>PL161</t>
  </si>
  <si>
    <t>PL162</t>
  </si>
  <si>
    <t>PL163</t>
  </si>
  <si>
    <t>PL164</t>
  </si>
  <si>
    <t>PL165</t>
  </si>
  <si>
    <t>PL166</t>
  </si>
  <si>
    <t>PL167</t>
  </si>
  <si>
    <t>PL168</t>
  </si>
  <si>
    <t>PL169</t>
  </si>
  <si>
    <t>PL170</t>
  </si>
  <si>
    <t>PL171</t>
  </si>
  <si>
    <t>PL172</t>
  </si>
  <si>
    <t>PL173</t>
  </si>
  <si>
    <t>PL174</t>
  </si>
  <si>
    <t>PL175</t>
  </si>
  <si>
    <t>PL176</t>
  </si>
  <si>
    <t>PL177</t>
  </si>
  <si>
    <t>PL178</t>
  </si>
  <si>
    <t>PL179</t>
  </si>
  <si>
    <t>PL180</t>
  </si>
  <si>
    <t>PL181</t>
  </si>
  <si>
    <t>PL182</t>
  </si>
  <si>
    <t>PL183</t>
  </si>
  <si>
    <t>PL184</t>
  </si>
  <si>
    <t>PL185</t>
  </si>
  <si>
    <t>PL186</t>
  </si>
  <si>
    <t>PL187</t>
  </si>
  <si>
    <t>PL188</t>
  </si>
  <si>
    <t>PL189</t>
  </si>
  <si>
    <t>PL190</t>
  </si>
  <si>
    <t>PL191</t>
  </si>
  <si>
    <t>PL192</t>
  </si>
  <si>
    <t>PL193</t>
  </si>
  <si>
    <t>PL194</t>
  </si>
  <si>
    <t>PL195</t>
  </si>
  <si>
    <t>PL196</t>
  </si>
  <si>
    <t>PL197</t>
  </si>
  <si>
    <t>PL198</t>
  </si>
  <si>
    <t>PL199</t>
  </si>
  <si>
    <t>PL200</t>
  </si>
  <si>
    <t>Supply Chain Data Quality Project — Practice Workbook</t>
  </si>
  <si>
    <t>Purpose</t>
  </si>
  <si>
    <t>Use this fictional dataset to practise Excel data-quality checks relevant to entry-level data/reporting roles.</t>
  </si>
  <si>
    <t>Data volume</t>
  </si>
  <si>
    <t>Product_Master: 100 products (plus header). Planning_Data: 200 planning records (plus header).</t>
  </si>
  <si>
    <t>Important</t>
  </si>
  <si>
    <t>The data is fictional and is not real Danone data.</t>
  </si>
  <si>
    <t>Suggested tasks</t>
  </si>
  <si>
    <t>1. Convert each dataset into an Excel Table (Ctrl+T).</t>
  </si>
  <si>
    <t>2. Find missing values, duplicate Planning_IDs, unknown Product_IDs, negative/zero quantities, and invalid lead times.</t>
  </si>
  <si>
    <t>3. Check dates and remove extra spaces from Product_IDs.</t>
  </si>
  <si>
    <t>4. Use XLOOKUP to bring product name/category into Planning_Data.</t>
  </si>
  <si>
    <t>5. Create a PivotTable to summarise planned quantity by category.</t>
  </si>
  <si>
    <t>6. Create a separate Data_Quality_Checks sheet to record issue type, row/ID, and fix.</t>
  </si>
  <si>
    <t>Beginner note</t>
  </si>
  <si>
    <t>Do not fix the intentional issues immediately. First identify and document them; then correct them.</t>
  </si>
  <si>
    <t>Product_ID_Check</t>
  </si>
  <si>
    <t>Duplicate_Check</t>
  </si>
  <si>
    <t>Quantity_Check</t>
  </si>
  <si>
    <t>Lead_Time_Check</t>
  </si>
  <si>
    <t>Minimum_Order_Check</t>
  </si>
  <si>
    <t>Product_Existence_Check</t>
  </si>
  <si>
    <t>Planning_Date_Check</t>
  </si>
  <si>
    <t>Overall_Data_Quality</t>
  </si>
  <si>
    <t>`</t>
  </si>
  <si>
    <t>Good_Records</t>
  </si>
  <si>
    <t>Data_Quality_Percentage</t>
  </si>
  <si>
    <t>Needs_Review_Count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</si>
</sst>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/>
    <xf numFmtId="14" fontId="1" fillId="2" borderId="0" xfId="0" applyNumberFormat="1" applyFont="1" applyFill="1" applyAlignment="1">
      <alignment vertical="center"/>
    </xf>
    <xf numFmtId="14" fontId="0" fillId="0" borderId="0" xfId="0" applyNumberFormat="1"/>
    <xf numFmtId="0" fontId="5" fillId="2" borderId="0" xfId="0" applyFont="1" applyFill="1" applyAlignment="1">
      <alignment vertical="center"/>
    </xf>
    <xf numFmtId="9" fontId="5" fillId="2" borderId="0" xfId="1" applyFont="1" applyFill="1" applyAlignment="1">
      <alignment vertical="center"/>
    </xf>
    <xf numFmtId="9" fontId="0" fillId="0" borderId="0" xfId="1" applyFont="1"/>
    <xf numFmtId="0" fontId="4" fillId="0" borderId="1" xfId="0" applyFont="1" applyBorder="1"/>
    <xf numFmtId="171" fontId="4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zoomScale="190" zoomScaleNormal="190" workbookViewId="0">
      <pane ySplit="1" topLeftCell="A2" activePane="bottomLeft" state="frozen"/>
      <selection pane="bottomLeft" activeCell="A11" sqref="A11"/>
    </sheetView>
  </sheetViews>
  <sheetFormatPr defaultRowHeight="14.25" x14ac:dyDescent="0.45"/>
  <cols>
    <col min="1" max="1" width="14" customWidth="1"/>
    <col min="2" max="2" width="20" customWidth="1"/>
    <col min="3" max="3" width="14" customWidth="1"/>
    <col min="4" max="4" width="20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3</v>
      </c>
    </row>
    <row r="3" spans="1:4" x14ac:dyDescent="0.45">
      <c r="A3" t="s">
        <v>7</v>
      </c>
      <c r="B3" t="s">
        <v>8</v>
      </c>
      <c r="C3" t="s">
        <v>9</v>
      </c>
      <c r="D3">
        <v>2</v>
      </c>
    </row>
    <row r="4" spans="1:4" x14ac:dyDescent="0.45">
      <c r="A4" t="s">
        <v>10</v>
      </c>
      <c r="B4" t="s">
        <v>11</v>
      </c>
      <c r="C4" t="s">
        <v>12</v>
      </c>
      <c r="D4">
        <v>6</v>
      </c>
    </row>
    <row r="5" spans="1:4" x14ac:dyDescent="0.45">
      <c r="A5" t="s">
        <v>13</v>
      </c>
      <c r="B5" t="s">
        <v>14</v>
      </c>
      <c r="C5" t="s">
        <v>15</v>
      </c>
      <c r="D5">
        <v>5</v>
      </c>
    </row>
    <row r="6" spans="1:4" x14ac:dyDescent="0.45">
      <c r="A6" t="s">
        <v>16</v>
      </c>
      <c r="B6" t="s">
        <v>17</v>
      </c>
      <c r="C6" t="s">
        <v>18</v>
      </c>
      <c r="D6">
        <v>5</v>
      </c>
    </row>
    <row r="7" spans="1:4" x14ac:dyDescent="0.45">
      <c r="A7" t="s">
        <v>19</v>
      </c>
      <c r="B7" t="s">
        <v>20</v>
      </c>
      <c r="C7" t="s">
        <v>6</v>
      </c>
      <c r="D7">
        <v>4</v>
      </c>
    </row>
    <row r="8" spans="1:4" x14ac:dyDescent="0.45">
      <c r="A8" t="s">
        <v>21</v>
      </c>
      <c r="B8" t="s">
        <v>22</v>
      </c>
      <c r="C8" t="s">
        <v>9</v>
      </c>
      <c r="D8">
        <v>3</v>
      </c>
    </row>
    <row r="9" spans="1:4" x14ac:dyDescent="0.45">
      <c r="A9" t="s">
        <v>23</v>
      </c>
      <c r="B9" t="s">
        <v>24</v>
      </c>
      <c r="C9" t="s">
        <v>12</v>
      </c>
      <c r="D9">
        <v>10</v>
      </c>
    </row>
    <row r="10" spans="1:4" x14ac:dyDescent="0.45">
      <c r="A10" t="s">
        <v>25</v>
      </c>
      <c r="B10" t="s">
        <v>26</v>
      </c>
      <c r="C10" t="s">
        <v>15</v>
      </c>
      <c r="D10">
        <v>3</v>
      </c>
    </row>
    <row r="11" spans="1:4" x14ac:dyDescent="0.45">
      <c r="A11" t="s">
        <v>27</v>
      </c>
      <c r="B11" t="s">
        <v>28</v>
      </c>
      <c r="C11" t="s">
        <v>18</v>
      </c>
      <c r="D11">
        <v>8</v>
      </c>
    </row>
    <row r="12" spans="1:4" x14ac:dyDescent="0.45">
      <c r="A12" t="s">
        <v>29</v>
      </c>
      <c r="B12" t="s">
        <v>30</v>
      </c>
      <c r="C12" t="s">
        <v>6</v>
      </c>
      <c r="D12">
        <v>2</v>
      </c>
    </row>
    <row r="13" spans="1:4" x14ac:dyDescent="0.45">
      <c r="A13" t="s">
        <v>31</v>
      </c>
      <c r="B13" t="s">
        <v>32</v>
      </c>
      <c r="C13" t="s">
        <v>9</v>
      </c>
      <c r="D13">
        <v>2</v>
      </c>
    </row>
    <row r="14" spans="1:4" x14ac:dyDescent="0.45">
      <c r="A14" t="s">
        <v>33</v>
      </c>
      <c r="B14" t="s">
        <v>34</v>
      </c>
      <c r="C14" t="s">
        <v>12</v>
      </c>
      <c r="D14">
        <v>3</v>
      </c>
    </row>
    <row r="15" spans="1:4" x14ac:dyDescent="0.45">
      <c r="A15" t="s">
        <v>35</v>
      </c>
      <c r="B15" t="s">
        <v>36</v>
      </c>
      <c r="C15" t="s">
        <v>15</v>
      </c>
      <c r="D15">
        <v>5</v>
      </c>
    </row>
    <row r="16" spans="1:4" x14ac:dyDescent="0.45">
      <c r="A16" t="s">
        <v>37</v>
      </c>
      <c r="B16" t="s">
        <v>38</v>
      </c>
      <c r="C16" t="s">
        <v>18</v>
      </c>
      <c r="D16">
        <v>5</v>
      </c>
    </row>
    <row r="17" spans="1:4" x14ac:dyDescent="0.45">
      <c r="A17" t="s">
        <v>39</v>
      </c>
      <c r="B17" t="s">
        <v>40</v>
      </c>
      <c r="C17" t="s">
        <v>6</v>
      </c>
      <c r="D17">
        <v>10</v>
      </c>
    </row>
    <row r="18" spans="1:4" x14ac:dyDescent="0.45">
      <c r="A18" t="s">
        <v>41</v>
      </c>
      <c r="B18" t="s">
        <v>42</v>
      </c>
      <c r="C18" t="s">
        <v>9</v>
      </c>
      <c r="D18">
        <v>2</v>
      </c>
    </row>
    <row r="19" spans="1:4" x14ac:dyDescent="0.45">
      <c r="A19" t="s">
        <v>43</v>
      </c>
      <c r="B19" t="s">
        <v>44</v>
      </c>
      <c r="C19" t="s">
        <v>12</v>
      </c>
      <c r="D19">
        <v>10</v>
      </c>
    </row>
    <row r="20" spans="1:4" x14ac:dyDescent="0.45">
      <c r="A20" t="s">
        <v>45</v>
      </c>
      <c r="B20" t="s">
        <v>46</v>
      </c>
      <c r="C20" t="s">
        <v>15</v>
      </c>
      <c r="D20">
        <v>5</v>
      </c>
    </row>
    <row r="21" spans="1:4" x14ac:dyDescent="0.45">
      <c r="A21" t="s">
        <v>47</v>
      </c>
      <c r="B21" t="s">
        <v>48</v>
      </c>
      <c r="C21" t="s">
        <v>18</v>
      </c>
      <c r="D21">
        <v>10</v>
      </c>
    </row>
    <row r="22" spans="1:4" x14ac:dyDescent="0.45">
      <c r="A22" t="s">
        <v>49</v>
      </c>
      <c r="B22" t="s">
        <v>50</v>
      </c>
      <c r="C22" t="s">
        <v>6</v>
      </c>
      <c r="D22">
        <v>8</v>
      </c>
    </row>
    <row r="23" spans="1:4" x14ac:dyDescent="0.45">
      <c r="A23" t="s">
        <v>51</v>
      </c>
      <c r="B23" t="s">
        <v>52</v>
      </c>
      <c r="C23" t="s">
        <v>9</v>
      </c>
      <c r="D23">
        <v>5</v>
      </c>
    </row>
    <row r="24" spans="1:4" x14ac:dyDescent="0.45">
      <c r="A24" t="s">
        <v>53</v>
      </c>
      <c r="B24" t="s">
        <v>54</v>
      </c>
      <c r="C24" t="s">
        <v>12</v>
      </c>
      <c r="D24">
        <v>9</v>
      </c>
    </row>
    <row r="25" spans="1:4" x14ac:dyDescent="0.45">
      <c r="A25" t="s">
        <v>55</v>
      </c>
      <c r="B25" t="s">
        <v>56</v>
      </c>
      <c r="C25" t="s">
        <v>15</v>
      </c>
      <c r="D25">
        <v>6</v>
      </c>
    </row>
    <row r="26" spans="1:4" x14ac:dyDescent="0.45">
      <c r="A26" t="s">
        <v>57</v>
      </c>
      <c r="B26" t="s">
        <v>58</v>
      </c>
      <c r="C26" t="s">
        <v>18</v>
      </c>
      <c r="D26">
        <v>2</v>
      </c>
    </row>
    <row r="27" spans="1:4" x14ac:dyDescent="0.45">
      <c r="A27" t="s">
        <v>59</v>
      </c>
      <c r="B27" t="s">
        <v>60</v>
      </c>
      <c r="C27" t="s">
        <v>6</v>
      </c>
      <c r="D27">
        <v>4</v>
      </c>
    </row>
    <row r="28" spans="1:4" x14ac:dyDescent="0.45">
      <c r="A28" t="s">
        <v>61</v>
      </c>
      <c r="B28" t="s">
        <v>62</v>
      </c>
      <c r="C28" t="s">
        <v>9</v>
      </c>
      <c r="D28">
        <v>8</v>
      </c>
    </row>
    <row r="29" spans="1:4" x14ac:dyDescent="0.45">
      <c r="A29" t="s">
        <v>63</v>
      </c>
      <c r="B29" t="s">
        <v>64</v>
      </c>
      <c r="C29" t="s">
        <v>12</v>
      </c>
      <c r="D29">
        <v>7</v>
      </c>
    </row>
    <row r="30" spans="1:4" x14ac:dyDescent="0.45">
      <c r="A30" t="s">
        <v>65</v>
      </c>
      <c r="B30" t="s">
        <v>66</v>
      </c>
      <c r="C30" t="s">
        <v>15</v>
      </c>
      <c r="D30">
        <v>6</v>
      </c>
    </row>
    <row r="31" spans="1:4" x14ac:dyDescent="0.45">
      <c r="A31" t="s">
        <v>67</v>
      </c>
      <c r="B31" t="s">
        <v>68</v>
      </c>
      <c r="C31" t="s">
        <v>18</v>
      </c>
      <c r="D31">
        <v>4</v>
      </c>
    </row>
    <row r="32" spans="1:4" x14ac:dyDescent="0.45">
      <c r="A32" t="s">
        <v>69</v>
      </c>
      <c r="B32" t="s">
        <v>70</v>
      </c>
      <c r="C32" t="s">
        <v>6</v>
      </c>
      <c r="D32">
        <v>5</v>
      </c>
    </row>
    <row r="33" spans="1:4" x14ac:dyDescent="0.45">
      <c r="A33" t="s">
        <v>71</v>
      </c>
      <c r="B33" t="s">
        <v>72</v>
      </c>
      <c r="C33" t="s">
        <v>9</v>
      </c>
      <c r="D33">
        <v>7</v>
      </c>
    </row>
    <row r="34" spans="1:4" x14ac:dyDescent="0.45">
      <c r="A34" t="s">
        <v>73</v>
      </c>
      <c r="B34" t="s">
        <v>74</v>
      </c>
      <c r="C34" t="s">
        <v>12</v>
      </c>
      <c r="D34">
        <v>3</v>
      </c>
    </row>
    <row r="35" spans="1:4" x14ac:dyDescent="0.45">
      <c r="A35" t="s">
        <v>75</v>
      </c>
      <c r="B35" t="s">
        <v>76</v>
      </c>
      <c r="C35" t="s">
        <v>15</v>
      </c>
      <c r="D35">
        <v>3</v>
      </c>
    </row>
    <row r="36" spans="1:4" x14ac:dyDescent="0.45">
      <c r="A36" t="s">
        <v>77</v>
      </c>
      <c r="B36" t="s">
        <v>78</v>
      </c>
      <c r="C36" t="s">
        <v>18</v>
      </c>
      <c r="D36">
        <v>8</v>
      </c>
    </row>
    <row r="37" spans="1:4" x14ac:dyDescent="0.45">
      <c r="A37" t="s">
        <v>79</v>
      </c>
      <c r="B37" t="s">
        <v>80</v>
      </c>
      <c r="C37" t="s">
        <v>6</v>
      </c>
      <c r="D37">
        <v>3</v>
      </c>
    </row>
    <row r="38" spans="1:4" x14ac:dyDescent="0.45">
      <c r="A38" t="s">
        <v>81</v>
      </c>
      <c r="B38" t="s">
        <v>82</v>
      </c>
      <c r="C38" t="s">
        <v>9</v>
      </c>
      <c r="D38">
        <v>7</v>
      </c>
    </row>
    <row r="39" spans="1:4" x14ac:dyDescent="0.45">
      <c r="A39" t="s">
        <v>83</v>
      </c>
      <c r="B39" t="s">
        <v>84</v>
      </c>
      <c r="C39" t="s">
        <v>12</v>
      </c>
      <c r="D39">
        <v>7</v>
      </c>
    </row>
    <row r="40" spans="1:4" x14ac:dyDescent="0.45">
      <c r="A40" t="s">
        <v>85</v>
      </c>
      <c r="B40" t="s">
        <v>86</v>
      </c>
      <c r="C40" t="s">
        <v>15</v>
      </c>
      <c r="D40">
        <v>6</v>
      </c>
    </row>
    <row r="41" spans="1:4" x14ac:dyDescent="0.45">
      <c r="A41" t="s">
        <v>87</v>
      </c>
      <c r="B41" t="s">
        <v>88</v>
      </c>
      <c r="C41" t="s">
        <v>18</v>
      </c>
      <c r="D41">
        <v>2</v>
      </c>
    </row>
    <row r="42" spans="1:4" x14ac:dyDescent="0.45">
      <c r="A42" t="s">
        <v>89</v>
      </c>
      <c r="B42" t="s">
        <v>90</v>
      </c>
      <c r="C42" t="s">
        <v>6</v>
      </c>
      <c r="D42">
        <v>9</v>
      </c>
    </row>
    <row r="43" spans="1:4" x14ac:dyDescent="0.45">
      <c r="A43" t="s">
        <v>91</v>
      </c>
      <c r="B43" t="s">
        <v>92</v>
      </c>
      <c r="C43" t="s">
        <v>9</v>
      </c>
      <c r="D43">
        <v>10</v>
      </c>
    </row>
    <row r="44" spans="1:4" x14ac:dyDescent="0.45">
      <c r="A44" t="s">
        <v>93</v>
      </c>
      <c r="B44" t="s">
        <v>94</v>
      </c>
      <c r="C44" t="s">
        <v>12</v>
      </c>
      <c r="D44">
        <v>3</v>
      </c>
    </row>
    <row r="45" spans="1:4" x14ac:dyDescent="0.45">
      <c r="A45" t="s">
        <v>95</v>
      </c>
      <c r="B45" t="s">
        <v>96</v>
      </c>
      <c r="C45" t="s">
        <v>15</v>
      </c>
      <c r="D45">
        <v>8</v>
      </c>
    </row>
    <row r="46" spans="1:4" x14ac:dyDescent="0.45">
      <c r="A46" t="s">
        <v>97</v>
      </c>
      <c r="B46" t="s">
        <v>98</v>
      </c>
      <c r="C46" t="s">
        <v>18</v>
      </c>
      <c r="D46">
        <v>3</v>
      </c>
    </row>
    <row r="47" spans="1:4" x14ac:dyDescent="0.45">
      <c r="A47" t="s">
        <v>99</v>
      </c>
      <c r="B47" t="s">
        <v>100</v>
      </c>
      <c r="C47" t="s">
        <v>6</v>
      </c>
      <c r="D47">
        <v>10</v>
      </c>
    </row>
    <row r="48" spans="1:4" x14ac:dyDescent="0.45">
      <c r="A48" t="s">
        <v>101</v>
      </c>
      <c r="B48" t="s">
        <v>102</v>
      </c>
      <c r="C48" t="s">
        <v>9</v>
      </c>
      <c r="D48">
        <v>6</v>
      </c>
    </row>
    <row r="49" spans="1:4" x14ac:dyDescent="0.45">
      <c r="A49" t="s">
        <v>103</v>
      </c>
      <c r="B49" t="s">
        <v>104</v>
      </c>
      <c r="C49" t="s">
        <v>12</v>
      </c>
      <c r="D49">
        <v>7</v>
      </c>
    </row>
    <row r="50" spans="1:4" x14ac:dyDescent="0.45">
      <c r="A50" t="s">
        <v>105</v>
      </c>
      <c r="B50" t="s">
        <v>106</v>
      </c>
      <c r="C50" t="s">
        <v>15</v>
      </c>
      <c r="D50">
        <v>5</v>
      </c>
    </row>
    <row r="51" spans="1:4" x14ac:dyDescent="0.45">
      <c r="A51" t="s">
        <v>107</v>
      </c>
      <c r="B51" t="s">
        <v>108</v>
      </c>
      <c r="C51" t="s">
        <v>18</v>
      </c>
      <c r="D51">
        <v>3</v>
      </c>
    </row>
    <row r="52" spans="1:4" x14ac:dyDescent="0.45">
      <c r="A52" t="s">
        <v>109</v>
      </c>
      <c r="B52" t="s">
        <v>110</v>
      </c>
      <c r="C52" t="s">
        <v>6</v>
      </c>
      <c r="D52">
        <v>2</v>
      </c>
    </row>
    <row r="53" spans="1:4" x14ac:dyDescent="0.45">
      <c r="A53" t="s">
        <v>111</v>
      </c>
      <c r="B53" t="s">
        <v>112</v>
      </c>
      <c r="C53" t="s">
        <v>9</v>
      </c>
      <c r="D53">
        <v>5</v>
      </c>
    </row>
    <row r="54" spans="1:4" x14ac:dyDescent="0.45">
      <c r="A54" t="s">
        <v>113</v>
      </c>
      <c r="B54" t="s">
        <v>114</v>
      </c>
      <c r="C54" t="s">
        <v>12</v>
      </c>
      <c r="D54">
        <v>6</v>
      </c>
    </row>
    <row r="55" spans="1:4" x14ac:dyDescent="0.45">
      <c r="A55" t="s">
        <v>115</v>
      </c>
      <c r="B55" t="s">
        <v>116</v>
      </c>
      <c r="C55" t="s">
        <v>15</v>
      </c>
      <c r="D55">
        <v>3</v>
      </c>
    </row>
    <row r="56" spans="1:4" x14ac:dyDescent="0.45">
      <c r="A56" t="s">
        <v>117</v>
      </c>
      <c r="B56" t="s">
        <v>118</v>
      </c>
      <c r="C56" t="s">
        <v>18</v>
      </c>
      <c r="D56">
        <v>5</v>
      </c>
    </row>
    <row r="57" spans="1:4" x14ac:dyDescent="0.45">
      <c r="A57" t="s">
        <v>119</v>
      </c>
      <c r="B57" t="s">
        <v>120</v>
      </c>
      <c r="C57" t="s">
        <v>6</v>
      </c>
      <c r="D57">
        <v>3</v>
      </c>
    </row>
    <row r="58" spans="1:4" x14ac:dyDescent="0.45">
      <c r="A58" t="s">
        <v>121</v>
      </c>
      <c r="B58" t="s">
        <v>122</v>
      </c>
      <c r="C58" t="s">
        <v>9</v>
      </c>
      <c r="D58">
        <v>8</v>
      </c>
    </row>
    <row r="59" spans="1:4" x14ac:dyDescent="0.45">
      <c r="A59" t="s">
        <v>123</v>
      </c>
      <c r="B59" t="s">
        <v>124</v>
      </c>
      <c r="C59" t="s">
        <v>12</v>
      </c>
      <c r="D59">
        <v>6</v>
      </c>
    </row>
    <row r="60" spans="1:4" x14ac:dyDescent="0.45">
      <c r="A60" t="s">
        <v>125</v>
      </c>
      <c r="B60" t="s">
        <v>126</v>
      </c>
      <c r="C60" t="s">
        <v>15</v>
      </c>
      <c r="D60">
        <v>9</v>
      </c>
    </row>
    <row r="61" spans="1:4" x14ac:dyDescent="0.45">
      <c r="A61" t="s">
        <v>127</v>
      </c>
      <c r="B61" t="s">
        <v>128</v>
      </c>
      <c r="C61" t="s">
        <v>18</v>
      </c>
      <c r="D61">
        <v>7</v>
      </c>
    </row>
    <row r="62" spans="1:4" x14ac:dyDescent="0.45">
      <c r="A62" t="s">
        <v>129</v>
      </c>
      <c r="B62" t="s">
        <v>130</v>
      </c>
      <c r="C62" t="s">
        <v>6</v>
      </c>
      <c r="D62">
        <v>4</v>
      </c>
    </row>
    <row r="63" spans="1:4" x14ac:dyDescent="0.45">
      <c r="A63" t="s">
        <v>131</v>
      </c>
      <c r="B63" t="s">
        <v>132</v>
      </c>
      <c r="C63" t="s">
        <v>9</v>
      </c>
      <c r="D63">
        <v>7</v>
      </c>
    </row>
    <row r="64" spans="1:4" x14ac:dyDescent="0.45">
      <c r="A64" t="s">
        <v>133</v>
      </c>
      <c r="B64" t="s">
        <v>134</v>
      </c>
      <c r="C64" t="s">
        <v>12</v>
      </c>
      <c r="D64">
        <v>7</v>
      </c>
    </row>
    <row r="65" spans="1:4" x14ac:dyDescent="0.45">
      <c r="A65" t="s">
        <v>135</v>
      </c>
      <c r="B65" t="s">
        <v>136</v>
      </c>
      <c r="C65" t="s">
        <v>15</v>
      </c>
      <c r="D65">
        <v>5</v>
      </c>
    </row>
    <row r="66" spans="1:4" x14ac:dyDescent="0.45">
      <c r="A66" t="s">
        <v>137</v>
      </c>
      <c r="B66" t="s">
        <v>138</v>
      </c>
      <c r="C66" t="s">
        <v>18</v>
      </c>
      <c r="D66">
        <v>6</v>
      </c>
    </row>
    <row r="67" spans="1:4" x14ac:dyDescent="0.45">
      <c r="A67" t="s">
        <v>139</v>
      </c>
      <c r="B67" t="s">
        <v>140</v>
      </c>
      <c r="C67" t="s">
        <v>6</v>
      </c>
      <c r="D67">
        <v>3</v>
      </c>
    </row>
    <row r="68" spans="1:4" x14ac:dyDescent="0.45">
      <c r="A68" t="s">
        <v>141</v>
      </c>
      <c r="B68" t="s">
        <v>142</v>
      </c>
      <c r="C68" t="s">
        <v>9</v>
      </c>
      <c r="D68">
        <v>4</v>
      </c>
    </row>
    <row r="69" spans="1:4" x14ac:dyDescent="0.45">
      <c r="A69" t="s">
        <v>143</v>
      </c>
      <c r="B69" t="s">
        <v>144</v>
      </c>
      <c r="C69" t="s">
        <v>12</v>
      </c>
      <c r="D69">
        <v>10</v>
      </c>
    </row>
    <row r="70" spans="1:4" x14ac:dyDescent="0.45">
      <c r="A70" t="s">
        <v>145</v>
      </c>
      <c r="B70" t="s">
        <v>146</v>
      </c>
      <c r="C70" t="s">
        <v>15</v>
      </c>
      <c r="D70">
        <v>5</v>
      </c>
    </row>
    <row r="71" spans="1:4" x14ac:dyDescent="0.45">
      <c r="A71" t="s">
        <v>147</v>
      </c>
      <c r="B71" t="s">
        <v>148</v>
      </c>
      <c r="C71" t="s">
        <v>18</v>
      </c>
      <c r="D71">
        <v>4</v>
      </c>
    </row>
    <row r="72" spans="1:4" x14ac:dyDescent="0.45">
      <c r="A72" t="s">
        <v>149</v>
      </c>
      <c r="B72" t="s">
        <v>150</v>
      </c>
      <c r="C72" t="s">
        <v>6</v>
      </c>
      <c r="D72">
        <v>9</v>
      </c>
    </row>
    <row r="73" spans="1:4" x14ac:dyDescent="0.45">
      <c r="A73" t="s">
        <v>151</v>
      </c>
      <c r="B73" t="s">
        <v>152</v>
      </c>
      <c r="C73" t="s">
        <v>9</v>
      </c>
      <c r="D73">
        <v>8</v>
      </c>
    </row>
    <row r="74" spans="1:4" x14ac:dyDescent="0.45">
      <c r="A74" t="s">
        <v>153</v>
      </c>
      <c r="B74" t="s">
        <v>154</v>
      </c>
      <c r="C74" t="s">
        <v>12</v>
      </c>
      <c r="D74">
        <v>6</v>
      </c>
    </row>
    <row r="75" spans="1:4" x14ac:dyDescent="0.45">
      <c r="A75" t="s">
        <v>155</v>
      </c>
      <c r="B75" t="s">
        <v>156</v>
      </c>
      <c r="C75" t="s">
        <v>15</v>
      </c>
      <c r="D75">
        <v>10</v>
      </c>
    </row>
    <row r="76" spans="1:4" x14ac:dyDescent="0.45">
      <c r="A76" t="s">
        <v>157</v>
      </c>
      <c r="B76" t="s">
        <v>158</v>
      </c>
      <c r="C76" t="s">
        <v>18</v>
      </c>
      <c r="D76">
        <v>5</v>
      </c>
    </row>
    <row r="77" spans="1:4" x14ac:dyDescent="0.45">
      <c r="A77" t="s">
        <v>159</v>
      </c>
      <c r="B77" t="s">
        <v>160</v>
      </c>
      <c r="C77" t="s">
        <v>6</v>
      </c>
      <c r="D77">
        <v>7</v>
      </c>
    </row>
    <row r="78" spans="1:4" x14ac:dyDescent="0.45">
      <c r="A78" t="s">
        <v>161</v>
      </c>
      <c r="B78" t="s">
        <v>162</v>
      </c>
      <c r="C78" t="s">
        <v>9</v>
      </c>
      <c r="D78">
        <v>2</v>
      </c>
    </row>
    <row r="79" spans="1:4" x14ac:dyDescent="0.45">
      <c r="A79" t="s">
        <v>163</v>
      </c>
      <c r="B79" t="s">
        <v>164</v>
      </c>
      <c r="C79" t="s">
        <v>12</v>
      </c>
      <c r="D79">
        <v>5</v>
      </c>
    </row>
    <row r="80" spans="1:4" x14ac:dyDescent="0.45">
      <c r="A80" t="s">
        <v>165</v>
      </c>
      <c r="B80" t="s">
        <v>166</v>
      </c>
      <c r="C80" t="s">
        <v>15</v>
      </c>
      <c r="D80">
        <v>2</v>
      </c>
    </row>
    <row r="81" spans="1:4" x14ac:dyDescent="0.45">
      <c r="A81" t="s">
        <v>167</v>
      </c>
      <c r="B81" t="s">
        <v>168</v>
      </c>
      <c r="C81" t="s">
        <v>18</v>
      </c>
      <c r="D81">
        <v>7</v>
      </c>
    </row>
    <row r="82" spans="1:4" x14ac:dyDescent="0.45">
      <c r="A82" t="s">
        <v>169</v>
      </c>
      <c r="B82" t="s">
        <v>170</v>
      </c>
      <c r="C82" t="s">
        <v>6</v>
      </c>
      <c r="D82">
        <v>8</v>
      </c>
    </row>
    <row r="83" spans="1:4" x14ac:dyDescent="0.45">
      <c r="A83" t="s">
        <v>171</v>
      </c>
      <c r="B83" t="s">
        <v>172</v>
      </c>
      <c r="C83" t="s">
        <v>9</v>
      </c>
      <c r="D83">
        <v>6</v>
      </c>
    </row>
    <row r="84" spans="1:4" x14ac:dyDescent="0.45">
      <c r="A84" t="s">
        <v>173</v>
      </c>
      <c r="B84" t="s">
        <v>174</v>
      </c>
      <c r="C84" t="s">
        <v>12</v>
      </c>
      <c r="D84">
        <v>3</v>
      </c>
    </row>
    <row r="85" spans="1:4" x14ac:dyDescent="0.45">
      <c r="A85" t="s">
        <v>175</v>
      </c>
      <c r="B85" t="s">
        <v>176</v>
      </c>
      <c r="C85" t="s">
        <v>15</v>
      </c>
      <c r="D85">
        <v>5</v>
      </c>
    </row>
    <row r="86" spans="1:4" x14ac:dyDescent="0.45">
      <c r="A86" t="s">
        <v>177</v>
      </c>
      <c r="B86" t="s">
        <v>178</v>
      </c>
      <c r="C86" t="s">
        <v>18</v>
      </c>
      <c r="D86">
        <v>7</v>
      </c>
    </row>
    <row r="87" spans="1:4" x14ac:dyDescent="0.45">
      <c r="A87" t="s">
        <v>179</v>
      </c>
      <c r="B87" t="s">
        <v>180</v>
      </c>
      <c r="C87" t="s">
        <v>6</v>
      </c>
      <c r="D87">
        <v>5</v>
      </c>
    </row>
    <row r="88" spans="1:4" x14ac:dyDescent="0.45">
      <c r="A88" t="s">
        <v>181</v>
      </c>
      <c r="B88" t="s">
        <v>182</v>
      </c>
      <c r="C88" t="s">
        <v>9</v>
      </c>
      <c r="D88">
        <v>9</v>
      </c>
    </row>
    <row r="89" spans="1:4" x14ac:dyDescent="0.45">
      <c r="A89" t="s">
        <v>183</v>
      </c>
      <c r="B89" t="s">
        <v>184</v>
      </c>
      <c r="C89" t="s">
        <v>12</v>
      </c>
      <c r="D89">
        <v>8</v>
      </c>
    </row>
    <row r="90" spans="1:4" x14ac:dyDescent="0.45">
      <c r="A90" t="s">
        <v>185</v>
      </c>
      <c r="B90" t="s">
        <v>186</v>
      </c>
      <c r="C90" t="s">
        <v>15</v>
      </c>
      <c r="D90">
        <v>9</v>
      </c>
    </row>
    <row r="91" spans="1:4" x14ac:dyDescent="0.45">
      <c r="A91" t="s">
        <v>187</v>
      </c>
      <c r="B91" t="s">
        <v>188</v>
      </c>
      <c r="C91" t="s">
        <v>18</v>
      </c>
      <c r="D91">
        <v>4</v>
      </c>
    </row>
    <row r="92" spans="1:4" x14ac:dyDescent="0.45">
      <c r="A92" t="s">
        <v>189</v>
      </c>
      <c r="B92" t="s">
        <v>190</v>
      </c>
      <c r="C92" t="s">
        <v>6</v>
      </c>
      <c r="D92">
        <v>6</v>
      </c>
    </row>
    <row r="93" spans="1:4" x14ac:dyDescent="0.45">
      <c r="A93" t="s">
        <v>191</v>
      </c>
      <c r="B93" t="s">
        <v>192</v>
      </c>
      <c r="C93" t="s">
        <v>9</v>
      </c>
      <c r="D93">
        <v>4</v>
      </c>
    </row>
    <row r="94" spans="1:4" x14ac:dyDescent="0.45">
      <c r="A94" t="s">
        <v>193</v>
      </c>
      <c r="B94" t="s">
        <v>194</v>
      </c>
      <c r="C94" t="s">
        <v>12</v>
      </c>
      <c r="D94">
        <v>5</v>
      </c>
    </row>
    <row r="95" spans="1:4" x14ac:dyDescent="0.45">
      <c r="A95" t="s">
        <v>195</v>
      </c>
      <c r="B95" t="s">
        <v>196</v>
      </c>
      <c r="C95" t="s">
        <v>15</v>
      </c>
      <c r="D95">
        <v>10</v>
      </c>
    </row>
    <row r="96" spans="1:4" x14ac:dyDescent="0.45">
      <c r="A96" t="s">
        <v>197</v>
      </c>
      <c r="B96" t="s">
        <v>198</v>
      </c>
      <c r="C96" t="s">
        <v>18</v>
      </c>
      <c r="D96">
        <v>10</v>
      </c>
    </row>
    <row r="97" spans="1:4" x14ac:dyDescent="0.45">
      <c r="A97" t="s">
        <v>199</v>
      </c>
      <c r="B97" t="s">
        <v>200</v>
      </c>
      <c r="C97" t="s">
        <v>6</v>
      </c>
      <c r="D97">
        <v>6</v>
      </c>
    </row>
    <row r="98" spans="1:4" x14ac:dyDescent="0.45">
      <c r="A98" t="s">
        <v>201</v>
      </c>
      <c r="B98" t="s">
        <v>202</v>
      </c>
      <c r="C98" t="s">
        <v>9</v>
      </c>
      <c r="D98">
        <v>8</v>
      </c>
    </row>
    <row r="99" spans="1:4" x14ac:dyDescent="0.45">
      <c r="A99" t="s">
        <v>203</v>
      </c>
      <c r="B99" t="s">
        <v>204</v>
      </c>
      <c r="C99" t="s">
        <v>12</v>
      </c>
      <c r="D99">
        <v>8</v>
      </c>
    </row>
    <row r="100" spans="1:4" x14ac:dyDescent="0.45">
      <c r="A100" t="s">
        <v>205</v>
      </c>
      <c r="B100" t="s">
        <v>206</v>
      </c>
      <c r="C100" t="s">
        <v>15</v>
      </c>
      <c r="D100">
        <v>7</v>
      </c>
    </row>
    <row r="101" spans="1:4" x14ac:dyDescent="0.45">
      <c r="A101" t="s">
        <v>207</v>
      </c>
      <c r="B101" t="s">
        <v>208</v>
      </c>
      <c r="C101" t="s">
        <v>18</v>
      </c>
      <c r="D101">
        <v>5</v>
      </c>
    </row>
  </sheetData>
  <autoFilter ref="A1:D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tabSelected="1" topLeftCell="F1" zoomScale="175" zoomScaleNormal="175" workbookViewId="0">
      <pane ySplit="1" topLeftCell="A2" activePane="bottomLeft" state="frozen"/>
      <selection pane="bottomLeft" activeCell="H1" sqref="H1"/>
    </sheetView>
  </sheetViews>
  <sheetFormatPr defaultRowHeight="14.25" x14ac:dyDescent="0.45"/>
  <cols>
    <col min="1" max="1" width="14" customWidth="1"/>
    <col min="2" max="2" width="14.06640625" customWidth="1"/>
    <col min="3" max="3" width="15" style="5" customWidth="1"/>
    <col min="4" max="4" width="18" customWidth="1"/>
    <col min="5" max="5" width="16" customWidth="1"/>
    <col min="6" max="6" width="19" customWidth="1"/>
    <col min="7" max="7" width="15.53125" bestFit="1" customWidth="1"/>
    <col min="8" max="8" width="14.19921875" bestFit="1" customWidth="1"/>
    <col min="9" max="9" width="13.6640625" bestFit="1" customWidth="1"/>
    <col min="10" max="10" width="15.3984375" bestFit="1" customWidth="1"/>
    <col min="11" max="11" width="20.46484375" bestFit="1" customWidth="1"/>
    <col min="12" max="12" width="21.73046875" bestFit="1" customWidth="1"/>
    <col min="13" max="14" width="18.33203125" bestFit="1" customWidth="1"/>
    <col min="16" max="16" width="22.53125" bestFit="1" customWidth="1"/>
    <col min="17" max="17" width="12.53125" bestFit="1" customWidth="1"/>
    <col min="18" max="18" width="21.59765625" style="8" bestFit="1" customWidth="1"/>
  </cols>
  <sheetData>
    <row r="1" spans="1:18" x14ac:dyDescent="0.45">
      <c r="A1" s="6" t="s">
        <v>438</v>
      </c>
      <c r="B1" s="1" t="s">
        <v>0</v>
      </c>
      <c r="C1" s="4" t="s">
        <v>209</v>
      </c>
      <c r="D1" s="1" t="s">
        <v>210</v>
      </c>
      <c r="E1" s="1" t="s">
        <v>211</v>
      </c>
      <c r="F1" s="1" t="s">
        <v>212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P1" s="6" t="s">
        <v>441</v>
      </c>
      <c r="Q1" s="6" t="s">
        <v>439</v>
      </c>
      <c r="R1" s="7" t="s">
        <v>440</v>
      </c>
    </row>
    <row r="2" spans="1:18" x14ac:dyDescent="0.45">
      <c r="A2" t="s">
        <v>213</v>
      </c>
      <c r="B2" t="s">
        <v>43</v>
      </c>
      <c r="C2" s="5">
        <v>46050</v>
      </c>
      <c r="D2">
        <v>1000</v>
      </c>
      <c r="E2">
        <v>9</v>
      </c>
      <c r="F2">
        <v>50</v>
      </c>
      <c r="G2" t="str">
        <f>IF(B2="","Missing Product ID","Present")</f>
        <v>Present</v>
      </c>
      <c r="H2" t="str">
        <f>IF(COUNTIF(A:A,A2)&gt;1,"Duplicate","Unique")</f>
        <v>Unique</v>
      </c>
      <c r="I2" t="str">
        <f>IF(D2="","Missing",IF(D2&lt;=0,"Invalid Quantity","Valid"))</f>
        <v>Valid</v>
      </c>
      <c r="J2" t="str">
        <f>IF(E2="","Missing",IF(E2&lt;=0,"Invalid Lead Time","Valid"))</f>
        <v>Valid</v>
      </c>
      <c r="K2" t="str">
        <f>IF(F2="","Missing",IF(F2&lt;=0,"Invalid","Valid"))</f>
        <v>Valid</v>
      </c>
      <c r="L2" t="str">
        <f>IF(B2="","Missing Product ID",IF(COUNTIF(Product_Master!A:A,B2)&gt;0,"Found","Not Found"))</f>
        <v>Found</v>
      </c>
      <c r="M2" t="str">
        <f>IF(C2="","Missing Date",IF(ISNUMBER(C2),"Valid Date","Invalid Date"))</f>
        <v>Valid Date</v>
      </c>
      <c r="N2" t="str">
        <f>IF(OR(H2="Duplicate",I2&lt;&gt;"Valid",J2&lt;&gt;"Valid",K2&lt;&gt;"Valid",L2&lt;&gt;"Found",M2&lt;&gt;"Valid Date"),"Needs Review","Good")</f>
        <v>Good</v>
      </c>
      <c r="P2" s="9">
        <f>COUNTIF(N:N,"Needs Review")</f>
        <v>11</v>
      </c>
      <c r="Q2" s="9">
        <f>COUNTIF(N:N,"Good")</f>
        <v>189</v>
      </c>
      <c r="R2" s="10">
        <f>Q2/(Q2+P2)</f>
        <v>0.94499999999999995</v>
      </c>
    </row>
    <row r="3" spans="1:18" x14ac:dyDescent="0.45">
      <c r="A3" t="s">
        <v>214</v>
      </c>
      <c r="B3" t="s">
        <v>37</v>
      </c>
      <c r="C3" s="5">
        <v>46298</v>
      </c>
      <c r="D3">
        <v>200</v>
      </c>
      <c r="E3">
        <v>4</v>
      </c>
      <c r="F3">
        <v>200</v>
      </c>
      <c r="G3" t="str">
        <f>IF(B3="","Missing Product ID","Present")</f>
        <v>Present</v>
      </c>
      <c r="H3" t="str">
        <f t="shared" ref="H3:H66" si="0">IF(COUNTIF(A:A,A3)&gt;1,"Duplicate","Unique")</f>
        <v>Unique</v>
      </c>
      <c r="I3" t="str">
        <f t="shared" ref="I3:I66" si="1">IF(D3="","Missing",IF(D3&lt;=0,"Invalid Quantity","Valid"))</f>
        <v>Valid</v>
      </c>
      <c r="J3" t="str">
        <f t="shared" ref="J3:J66" si="2">IF(E3="","Missing",IF(E3&lt;=0,"Invalid Lead Time","Valid"))</f>
        <v>Valid</v>
      </c>
      <c r="K3" t="str">
        <f t="shared" ref="K3:K66" si="3">IF(F3="","Missing",IF(F3&lt;=0,"Invalid","Valid"))</f>
        <v>Valid</v>
      </c>
      <c r="L3" t="str">
        <f>IF(B3="","Missing Product ID",IF(COUNTIF(Product_Master!A:A,B3)&gt;0,"Found","Not Found"))</f>
        <v>Found</v>
      </c>
      <c r="M3" t="str">
        <f t="shared" ref="M3:M66" si="4">IF(C3="","Missing Date",IF(ISNUMBER(C3),"Valid Date","Invalid Date"))</f>
        <v>Valid Date</v>
      </c>
      <c r="N3" t="str">
        <f t="shared" ref="N3:N66" si="5">IF(OR(H3="Duplicate",I3&lt;&gt;"Valid",J3&lt;&gt;"Valid",K3&lt;&gt;"Valid",L3&lt;&gt;"Found",M3&lt;&gt;"Valid Date"),"Needs Review","Good")</f>
        <v>Good</v>
      </c>
    </row>
    <row r="4" spans="1:18" x14ac:dyDescent="0.45">
      <c r="A4" t="s">
        <v>215</v>
      </c>
      <c r="B4" t="s">
        <v>107</v>
      </c>
      <c r="C4" s="5">
        <v>46160</v>
      </c>
      <c r="D4">
        <v>500</v>
      </c>
      <c r="E4">
        <v>9</v>
      </c>
      <c r="F4">
        <v>250</v>
      </c>
      <c r="G4" t="str">
        <f>IF(B4="","Missing Product ID","Present")</f>
        <v>Present</v>
      </c>
      <c r="H4" t="str">
        <f t="shared" si="0"/>
        <v>Unique</v>
      </c>
      <c r="I4" t="str">
        <f t="shared" si="1"/>
        <v>Valid</v>
      </c>
      <c r="J4" t="str">
        <f t="shared" si="2"/>
        <v>Valid</v>
      </c>
      <c r="K4" t="str">
        <f t="shared" si="3"/>
        <v>Valid</v>
      </c>
      <c r="L4" t="str">
        <f>IF(B4="","Missing Product ID",IF(COUNTIF(Product_Master!A:A,B4)&gt;0,"Found","Not Found"))</f>
        <v>Found</v>
      </c>
      <c r="M4" t="str">
        <f t="shared" si="4"/>
        <v>Valid Date</v>
      </c>
      <c r="N4" t="str">
        <f t="shared" si="5"/>
        <v>Good</v>
      </c>
    </row>
    <row r="5" spans="1:18" x14ac:dyDescent="0.45">
      <c r="A5" t="s">
        <v>216</v>
      </c>
      <c r="B5" t="s">
        <v>7</v>
      </c>
      <c r="C5" s="5">
        <v>46337</v>
      </c>
      <c r="D5">
        <v>150</v>
      </c>
      <c r="E5">
        <v>10</v>
      </c>
      <c r="F5">
        <v>150</v>
      </c>
      <c r="G5" t="str">
        <f>IF(B5="","Missing Product ID","Present")</f>
        <v>Present</v>
      </c>
      <c r="H5" t="str">
        <f t="shared" si="0"/>
        <v>Unique</v>
      </c>
      <c r="I5" t="str">
        <f t="shared" si="1"/>
        <v>Valid</v>
      </c>
      <c r="J5" t="str">
        <f t="shared" si="2"/>
        <v>Valid</v>
      </c>
      <c r="K5" t="str">
        <f t="shared" si="3"/>
        <v>Valid</v>
      </c>
      <c r="L5" t="str">
        <f>IF(B5="","Missing Product ID",IF(COUNTIF(Product_Master!A:A,B5)&gt;0,"Found","Not Found"))</f>
        <v>Found</v>
      </c>
      <c r="M5" t="str">
        <f t="shared" si="4"/>
        <v>Valid Date</v>
      </c>
      <c r="N5" t="str">
        <f t="shared" si="5"/>
        <v>Good</v>
      </c>
    </row>
    <row r="6" spans="1:18" x14ac:dyDescent="0.45">
      <c r="A6" t="s">
        <v>217</v>
      </c>
      <c r="B6" t="s">
        <v>37</v>
      </c>
      <c r="C6" s="5">
        <v>46235</v>
      </c>
      <c r="D6">
        <v>300</v>
      </c>
      <c r="E6">
        <v>8</v>
      </c>
      <c r="F6">
        <v>100</v>
      </c>
      <c r="G6" t="str">
        <f>IF(B6="","Missing Product ID","Present")</f>
        <v>Present</v>
      </c>
      <c r="H6" t="str">
        <f t="shared" si="0"/>
        <v>Unique</v>
      </c>
      <c r="I6" t="str">
        <f t="shared" si="1"/>
        <v>Valid</v>
      </c>
      <c r="J6" t="str">
        <f t="shared" si="2"/>
        <v>Valid</v>
      </c>
      <c r="K6" t="str">
        <f t="shared" si="3"/>
        <v>Valid</v>
      </c>
      <c r="L6" t="str">
        <f>IF(B6="","Missing Product ID",IF(COUNTIF(Product_Master!A:A,B6)&gt;0,"Found","Not Found"))</f>
        <v>Found</v>
      </c>
      <c r="M6" t="str">
        <f t="shared" si="4"/>
        <v>Valid Date</v>
      </c>
      <c r="N6" t="str">
        <f t="shared" si="5"/>
        <v>Good</v>
      </c>
    </row>
    <row r="7" spans="1:18" x14ac:dyDescent="0.45">
      <c r="A7" t="s">
        <v>218</v>
      </c>
      <c r="B7" t="s">
        <v>193</v>
      </c>
      <c r="C7" s="5">
        <v>46269</v>
      </c>
      <c r="D7">
        <v>300</v>
      </c>
      <c r="E7">
        <v>10</v>
      </c>
      <c r="F7">
        <v>100</v>
      </c>
      <c r="G7" t="str">
        <f>IF(B7="","Missing Product ID","Present")</f>
        <v>Present</v>
      </c>
      <c r="H7" t="str">
        <f t="shared" si="0"/>
        <v>Unique</v>
      </c>
      <c r="I7" t="str">
        <f t="shared" si="1"/>
        <v>Valid</v>
      </c>
      <c r="J7" t="str">
        <f t="shared" si="2"/>
        <v>Valid</v>
      </c>
      <c r="K7" t="str">
        <f t="shared" si="3"/>
        <v>Valid</v>
      </c>
      <c r="L7" t="str">
        <f>IF(B7="","Missing Product ID",IF(COUNTIF(Product_Master!A:A,B7)&gt;0,"Found","Not Found"))</f>
        <v>Found</v>
      </c>
      <c r="M7" t="str">
        <f t="shared" si="4"/>
        <v>Valid Date</v>
      </c>
      <c r="N7" t="str">
        <f t="shared" si="5"/>
        <v>Good</v>
      </c>
    </row>
    <row r="8" spans="1:18" x14ac:dyDescent="0.45">
      <c r="A8" t="s">
        <v>219</v>
      </c>
      <c r="B8" t="s">
        <v>169</v>
      </c>
      <c r="C8" s="5">
        <v>46117</v>
      </c>
      <c r="D8">
        <v>300</v>
      </c>
      <c r="E8">
        <v>10</v>
      </c>
      <c r="F8">
        <v>250</v>
      </c>
      <c r="G8" t="str">
        <f>IF(B8="","Missing Product ID","Present")</f>
        <v>Present</v>
      </c>
      <c r="H8" t="str">
        <f t="shared" si="0"/>
        <v>Unique</v>
      </c>
      <c r="I8" t="str">
        <f t="shared" si="1"/>
        <v>Valid</v>
      </c>
      <c r="J8" t="str">
        <f t="shared" si="2"/>
        <v>Valid</v>
      </c>
      <c r="K8" t="str">
        <f t="shared" si="3"/>
        <v>Valid</v>
      </c>
      <c r="L8" t="str">
        <f>IF(B8="","Missing Product ID",IF(COUNTIF(Product_Master!A:A,B8)&gt;0,"Found","Not Found"))</f>
        <v>Found</v>
      </c>
      <c r="M8" t="str">
        <f t="shared" si="4"/>
        <v>Valid Date</v>
      </c>
      <c r="N8" t="str">
        <f t="shared" si="5"/>
        <v>Good</v>
      </c>
    </row>
    <row r="9" spans="1:18" x14ac:dyDescent="0.45">
      <c r="A9" t="s">
        <v>220</v>
      </c>
      <c r="B9" t="s">
        <v>103</v>
      </c>
      <c r="C9" s="5">
        <v>46042</v>
      </c>
      <c r="D9">
        <v>200</v>
      </c>
      <c r="E9">
        <v>10</v>
      </c>
      <c r="F9">
        <v>250</v>
      </c>
      <c r="G9" t="str">
        <f>IF(B9="","Missing Product ID","Present")</f>
        <v>Present</v>
      </c>
      <c r="H9" t="str">
        <f t="shared" si="0"/>
        <v>Unique</v>
      </c>
      <c r="I9" t="str">
        <f t="shared" si="1"/>
        <v>Valid</v>
      </c>
      <c r="J9" t="str">
        <f t="shared" si="2"/>
        <v>Valid</v>
      </c>
      <c r="K9" t="str">
        <f t="shared" si="3"/>
        <v>Valid</v>
      </c>
      <c r="L9" t="str">
        <f>IF(B9="","Missing Product ID",IF(COUNTIF(Product_Master!A:A,B9)&gt;0,"Found","Not Found"))</f>
        <v>Found</v>
      </c>
      <c r="M9" t="str">
        <f t="shared" si="4"/>
        <v>Valid Date</v>
      </c>
      <c r="N9" t="str">
        <f t="shared" si="5"/>
        <v>Good</v>
      </c>
    </row>
    <row r="10" spans="1:18" x14ac:dyDescent="0.45">
      <c r="A10" t="s">
        <v>221</v>
      </c>
      <c r="B10" t="s">
        <v>222</v>
      </c>
      <c r="C10" s="5">
        <v>46200</v>
      </c>
      <c r="D10">
        <v>750</v>
      </c>
      <c r="E10">
        <v>2</v>
      </c>
      <c r="F10">
        <v>50</v>
      </c>
      <c r="G10" t="str">
        <f>IF(B10="","Missing Product ID","Present")</f>
        <v>Present</v>
      </c>
      <c r="H10" t="str">
        <f t="shared" si="0"/>
        <v>Unique</v>
      </c>
      <c r="I10" t="str">
        <f t="shared" si="1"/>
        <v>Valid</v>
      </c>
      <c r="J10" t="str">
        <f t="shared" si="2"/>
        <v>Valid</v>
      </c>
      <c r="K10" t="str">
        <f t="shared" si="3"/>
        <v>Valid</v>
      </c>
      <c r="L10" t="str">
        <f>IF(B10="","Missing Product ID",IF(COUNTIF(Product_Master!A:A,B10)&gt;0,"Found","Not Found"))</f>
        <v>Not Found</v>
      </c>
      <c r="M10" t="str">
        <f t="shared" si="4"/>
        <v>Valid Date</v>
      </c>
      <c r="N10" t="str">
        <f t="shared" si="5"/>
        <v>Needs Review</v>
      </c>
    </row>
    <row r="11" spans="1:18" x14ac:dyDescent="0.45">
      <c r="A11" t="s">
        <v>223</v>
      </c>
      <c r="B11" t="s">
        <v>87</v>
      </c>
      <c r="C11" s="5">
        <v>46298</v>
      </c>
      <c r="D11">
        <v>250</v>
      </c>
      <c r="E11">
        <v>2</v>
      </c>
      <c r="F11">
        <v>100</v>
      </c>
      <c r="G11" t="str">
        <f>IF(B11="","Missing Product ID","Present")</f>
        <v>Present</v>
      </c>
      <c r="H11" t="str">
        <f t="shared" si="0"/>
        <v>Unique</v>
      </c>
      <c r="I11" t="str">
        <f t="shared" si="1"/>
        <v>Valid</v>
      </c>
      <c r="J11" t="str">
        <f t="shared" si="2"/>
        <v>Valid</v>
      </c>
      <c r="K11" t="str">
        <f t="shared" si="3"/>
        <v>Valid</v>
      </c>
      <c r="L11" t="str">
        <f>IF(B11="","Missing Product ID",IF(COUNTIF(Product_Master!A:A,B11)&gt;0,"Found","Not Found"))</f>
        <v>Found</v>
      </c>
      <c r="M11" t="str">
        <f t="shared" si="4"/>
        <v>Valid Date</v>
      </c>
      <c r="N11" t="str">
        <f t="shared" si="5"/>
        <v>Good</v>
      </c>
    </row>
    <row r="12" spans="1:18" x14ac:dyDescent="0.45">
      <c r="A12" t="s">
        <v>224</v>
      </c>
      <c r="B12" t="s">
        <v>29</v>
      </c>
      <c r="C12" s="5">
        <v>46086</v>
      </c>
      <c r="D12">
        <v>750</v>
      </c>
      <c r="E12">
        <v>3</v>
      </c>
      <c r="F12">
        <v>250</v>
      </c>
      <c r="G12" t="str">
        <f>IF(B12="","Missing Product ID","Present")</f>
        <v>Present</v>
      </c>
      <c r="H12" t="str">
        <f t="shared" si="0"/>
        <v>Unique</v>
      </c>
      <c r="I12" t="str">
        <f t="shared" si="1"/>
        <v>Valid</v>
      </c>
      <c r="J12" t="str">
        <f t="shared" si="2"/>
        <v>Valid</v>
      </c>
      <c r="K12" t="str">
        <f t="shared" si="3"/>
        <v>Valid</v>
      </c>
      <c r="L12" t="str">
        <f>IF(B12="","Missing Product ID",IF(COUNTIF(Product_Master!A:A,B12)&gt;0,"Found","Not Found"))</f>
        <v>Found</v>
      </c>
      <c r="M12" t="str">
        <f t="shared" si="4"/>
        <v>Valid Date</v>
      </c>
      <c r="N12" t="str">
        <f t="shared" si="5"/>
        <v>Good</v>
      </c>
    </row>
    <row r="13" spans="1:18" x14ac:dyDescent="0.45">
      <c r="A13" t="s">
        <v>225</v>
      </c>
      <c r="B13" t="s">
        <v>177</v>
      </c>
      <c r="C13" s="5">
        <v>46159</v>
      </c>
      <c r="D13">
        <v>750</v>
      </c>
      <c r="E13">
        <v>10</v>
      </c>
      <c r="F13">
        <v>100</v>
      </c>
      <c r="G13" t="str">
        <f>IF(B13="","Missing Product ID","Present")</f>
        <v>Present</v>
      </c>
      <c r="H13" t="str">
        <f t="shared" si="0"/>
        <v>Unique</v>
      </c>
      <c r="I13" t="str">
        <f t="shared" si="1"/>
        <v>Valid</v>
      </c>
      <c r="J13" t="str">
        <f t="shared" si="2"/>
        <v>Valid</v>
      </c>
      <c r="K13" t="str">
        <f t="shared" si="3"/>
        <v>Valid</v>
      </c>
      <c r="L13" t="str">
        <f>IF(B13="","Missing Product ID",IF(COUNTIF(Product_Master!A:A,B13)&gt;0,"Found","Not Found"))</f>
        <v>Found</v>
      </c>
      <c r="M13" t="str">
        <f t="shared" si="4"/>
        <v>Valid Date</v>
      </c>
      <c r="N13" t="str">
        <f t="shared" si="5"/>
        <v>Good</v>
      </c>
    </row>
    <row r="14" spans="1:18" x14ac:dyDescent="0.45">
      <c r="A14" t="s">
        <v>226</v>
      </c>
      <c r="B14" t="s">
        <v>163</v>
      </c>
      <c r="C14" s="5">
        <v>46379</v>
      </c>
      <c r="D14">
        <v>500</v>
      </c>
      <c r="E14">
        <v>5</v>
      </c>
      <c r="F14">
        <v>250</v>
      </c>
      <c r="G14" t="str">
        <f>IF(B14="","Missing Product ID","Present")</f>
        <v>Present</v>
      </c>
      <c r="H14" t="str">
        <f t="shared" si="0"/>
        <v>Unique</v>
      </c>
      <c r="I14" t="str">
        <f t="shared" si="1"/>
        <v>Valid</v>
      </c>
      <c r="J14" t="str">
        <f t="shared" si="2"/>
        <v>Valid</v>
      </c>
      <c r="K14" t="str">
        <f t="shared" si="3"/>
        <v>Valid</v>
      </c>
      <c r="L14" t="str">
        <f>IF(B14="","Missing Product ID",IF(COUNTIF(Product_Master!A:A,B14)&gt;0,"Found","Not Found"))</f>
        <v>Found</v>
      </c>
      <c r="M14" t="str">
        <f t="shared" si="4"/>
        <v>Valid Date</v>
      </c>
      <c r="N14" t="str">
        <f t="shared" si="5"/>
        <v>Good</v>
      </c>
    </row>
    <row r="15" spans="1:18" x14ac:dyDescent="0.45">
      <c r="A15" t="s">
        <v>227</v>
      </c>
      <c r="B15" t="s">
        <v>59</v>
      </c>
      <c r="C15" s="5">
        <v>46251</v>
      </c>
      <c r="D15">
        <v>300</v>
      </c>
      <c r="E15">
        <v>8</v>
      </c>
      <c r="F15">
        <v>150</v>
      </c>
      <c r="G15" t="str">
        <f>IF(B15="","Missing Product ID","Present")</f>
        <v>Present</v>
      </c>
      <c r="H15" t="str">
        <f t="shared" si="0"/>
        <v>Unique</v>
      </c>
      <c r="I15" t="str">
        <f t="shared" si="1"/>
        <v>Valid</v>
      </c>
      <c r="J15" t="str">
        <f t="shared" si="2"/>
        <v>Valid</v>
      </c>
      <c r="K15" t="str">
        <f t="shared" si="3"/>
        <v>Valid</v>
      </c>
      <c r="L15" t="str">
        <f>IF(B15="","Missing Product ID",IF(COUNTIF(Product_Master!A:A,B15)&gt;0,"Found","Not Found"))</f>
        <v>Found</v>
      </c>
      <c r="M15" t="str">
        <f t="shared" si="4"/>
        <v>Valid Date</v>
      </c>
      <c r="N15" t="str">
        <f t="shared" si="5"/>
        <v>Good</v>
      </c>
    </row>
    <row r="16" spans="1:18" x14ac:dyDescent="0.45">
      <c r="A16" t="s">
        <v>228</v>
      </c>
      <c r="B16" t="s">
        <v>123</v>
      </c>
      <c r="C16" s="5">
        <v>46064</v>
      </c>
      <c r="D16">
        <v>150</v>
      </c>
      <c r="E16">
        <v>5</v>
      </c>
      <c r="F16">
        <v>100</v>
      </c>
      <c r="G16" t="str">
        <f>IF(B16="","Missing Product ID","Present")</f>
        <v>Present</v>
      </c>
      <c r="H16" t="str">
        <f t="shared" si="0"/>
        <v>Unique</v>
      </c>
      <c r="I16" t="str">
        <f t="shared" si="1"/>
        <v>Valid</v>
      </c>
      <c r="J16" t="str">
        <f t="shared" si="2"/>
        <v>Valid</v>
      </c>
      <c r="K16" t="str">
        <f t="shared" si="3"/>
        <v>Valid</v>
      </c>
      <c r="L16" t="str">
        <f>IF(B16="","Missing Product ID",IF(COUNTIF(Product_Master!A:A,B16)&gt;0,"Found","Not Found"))</f>
        <v>Found</v>
      </c>
      <c r="M16" t="str">
        <f t="shared" si="4"/>
        <v>Valid Date</v>
      </c>
      <c r="N16" t="str">
        <f t="shared" si="5"/>
        <v>Good</v>
      </c>
    </row>
    <row r="17" spans="1:14" x14ac:dyDescent="0.45">
      <c r="A17" t="s">
        <v>229</v>
      </c>
      <c r="B17" t="s">
        <v>10</v>
      </c>
      <c r="C17" s="5">
        <v>46113</v>
      </c>
      <c r="D17">
        <v>-50</v>
      </c>
      <c r="E17">
        <v>5</v>
      </c>
      <c r="F17">
        <v>250</v>
      </c>
      <c r="G17" t="str">
        <f>IF(B17="","Missing Product ID","Present")</f>
        <v>Present</v>
      </c>
      <c r="H17" t="str">
        <f t="shared" si="0"/>
        <v>Unique</v>
      </c>
      <c r="I17" t="str">
        <f t="shared" si="1"/>
        <v>Invalid Quantity</v>
      </c>
      <c r="J17" t="str">
        <f t="shared" si="2"/>
        <v>Valid</v>
      </c>
      <c r="K17" t="str">
        <f t="shared" si="3"/>
        <v>Valid</v>
      </c>
      <c r="L17" t="str">
        <f>IF(B17="","Missing Product ID",IF(COUNTIF(Product_Master!A:A,B17)&gt;0,"Found","Not Found"))</f>
        <v>Found</v>
      </c>
      <c r="M17" t="str">
        <f t="shared" si="4"/>
        <v>Valid Date</v>
      </c>
      <c r="N17" t="str">
        <f t="shared" si="5"/>
        <v>Needs Review</v>
      </c>
    </row>
    <row r="18" spans="1:14" x14ac:dyDescent="0.45">
      <c r="A18" t="s">
        <v>230</v>
      </c>
      <c r="B18" t="s">
        <v>27</v>
      </c>
      <c r="C18" s="5">
        <v>46050</v>
      </c>
      <c r="D18">
        <v>100</v>
      </c>
      <c r="E18">
        <v>5</v>
      </c>
      <c r="F18">
        <v>50</v>
      </c>
      <c r="G18" t="str">
        <f>IF(B18="","Missing Product ID","Present")</f>
        <v>Present</v>
      </c>
      <c r="H18" t="str">
        <f t="shared" si="0"/>
        <v>Unique</v>
      </c>
      <c r="I18" t="str">
        <f t="shared" si="1"/>
        <v>Valid</v>
      </c>
      <c r="J18" t="str">
        <f t="shared" si="2"/>
        <v>Valid</v>
      </c>
      <c r="K18" t="str">
        <f t="shared" si="3"/>
        <v>Valid</v>
      </c>
      <c r="L18" t="str">
        <f>IF(B18="","Missing Product ID",IF(COUNTIF(Product_Master!A:A,B18)&gt;0,"Found","Not Found"))</f>
        <v>Found</v>
      </c>
      <c r="M18" t="str">
        <f t="shared" si="4"/>
        <v>Valid Date</v>
      </c>
      <c r="N18" t="str">
        <f t="shared" si="5"/>
        <v>Good</v>
      </c>
    </row>
    <row r="19" spans="1:14" x14ac:dyDescent="0.45">
      <c r="A19" t="s">
        <v>231</v>
      </c>
      <c r="B19" t="s">
        <v>93</v>
      </c>
      <c r="C19" s="5">
        <v>46164</v>
      </c>
      <c r="D19">
        <v>150</v>
      </c>
      <c r="E19">
        <v>10</v>
      </c>
      <c r="F19">
        <v>100</v>
      </c>
      <c r="G19" t="str">
        <f>IF(B19="","Missing Product ID","Present")</f>
        <v>Present</v>
      </c>
      <c r="H19" t="str">
        <f t="shared" si="0"/>
        <v>Unique</v>
      </c>
      <c r="I19" t="str">
        <f t="shared" si="1"/>
        <v>Valid</v>
      </c>
      <c r="J19" t="str">
        <f t="shared" si="2"/>
        <v>Valid</v>
      </c>
      <c r="K19" t="str">
        <f t="shared" si="3"/>
        <v>Valid</v>
      </c>
      <c r="L19" t="str">
        <f>IF(B19="","Missing Product ID",IF(COUNTIF(Product_Master!A:A,B19)&gt;0,"Found","Not Found"))</f>
        <v>Found</v>
      </c>
      <c r="M19" t="str">
        <f t="shared" si="4"/>
        <v>Valid Date</v>
      </c>
      <c r="N19" t="str">
        <f t="shared" si="5"/>
        <v>Good</v>
      </c>
    </row>
    <row r="20" spans="1:14" x14ac:dyDescent="0.45">
      <c r="A20" t="s">
        <v>232</v>
      </c>
      <c r="B20" t="s">
        <v>133</v>
      </c>
      <c r="C20" s="5">
        <v>46375</v>
      </c>
      <c r="D20">
        <v>250</v>
      </c>
      <c r="E20">
        <v>10</v>
      </c>
      <c r="F20">
        <v>100</v>
      </c>
      <c r="G20" t="str">
        <f>IF(B20="","Missing Product ID","Present")</f>
        <v>Present</v>
      </c>
      <c r="H20" t="str">
        <f t="shared" si="0"/>
        <v>Unique</v>
      </c>
      <c r="I20" t="str">
        <f t="shared" si="1"/>
        <v>Valid</v>
      </c>
      <c r="J20" t="str">
        <f t="shared" si="2"/>
        <v>Valid</v>
      </c>
      <c r="K20" t="str">
        <f t="shared" si="3"/>
        <v>Valid</v>
      </c>
      <c r="L20" t="str">
        <f>IF(B20="","Missing Product ID",IF(COUNTIF(Product_Master!A:A,B20)&gt;0,"Found","Not Found"))</f>
        <v>Found</v>
      </c>
      <c r="M20" t="str">
        <f t="shared" si="4"/>
        <v>Valid Date</v>
      </c>
      <c r="N20" t="str">
        <f t="shared" si="5"/>
        <v>Good</v>
      </c>
    </row>
    <row r="21" spans="1:14" x14ac:dyDescent="0.45">
      <c r="A21" t="s">
        <v>233</v>
      </c>
      <c r="B21" t="s">
        <v>155</v>
      </c>
      <c r="C21" s="5">
        <v>46210</v>
      </c>
      <c r="D21">
        <v>750</v>
      </c>
      <c r="E21">
        <v>5</v>
      </c>
      <c r="F21">
        <v>200</v>
      </c>
      <c r="G21" t="str">
        <f>IF(B21="","Missing Product ID","Present")</f>
        <v>Present</v>
      </c>
      <c r="H21" t="str">
        <f t="shared" si="0"/>
        <v>Unique</v>
      </c>
      <c r="I21" t="str">
        <f t="shared" si="1"/>
        <v>Valid</v>
      </c>
      <c r="J21" t="str">
        <f t="shared" si="2"/>
        <v>Valid</v>
      </c>
      <c r="K21" t="str">
        <f t="shared" si="3"/>
        <v>Valid</v>
      </c>
      <c r="L21" t="str">
        <f>IF(B21="","Missing Product ID",IF(COUNTIF(Product_Master!A:A,B21)&gt;0,"Found","Not Found"))</f>
        <v>Found</v>
      </c>
      <c r="M21" t="str">
        <f t="shared" si="4"/>
        <v>Valid Date</v>
      </c>
      <c r="N21" t="str">
        <f t="shared" si="5"/>
        <v>Good</v>
      </c>
    </row>
    <row r="22" spans="1:14" x14ac:dyDescent="0.45">
      <c r="A22" t="s">
        <v>234</v>
      </c>
      <c r="B22" t="s">
        <v>33</v>
      </c>
      <c r="C22" s="5">
        <v>46217</v>
      </c>
      <c r="D22">
        <v>150</v>
      </c>
      <c r="E22">
        <v>8</v>
      </c>
      <c r="F22">
        <v>150</v>
      </c>
      <c r="G22" t="str">
        <f>IF(B22="","Missing Product ID","Present")</f>
        <v>Present</v>
      </c>
      <c r="H22" t="str">
        <f t="shared" si="0"/>
        <v>Unique</v>
      </c>
      <c r="I22" t="str">
        <f t="shared" si="1"/>
        <v>Valid</v>
      </c>
      <c r="J22" t="str">
        <f t="shared" si="2"/>
        <v>Valid</v>
      </c>
      <c r="K22" t="str">
        <f t="shared" si="3"/>
        <v>Valid</v>
      </c>
      <c r="L22" t="str">
        <f>IF(B22="","Missing Product ID",IF(COUNTIF(Product_Master!A:A,B22)&gt;0,"Found","Not Found"))</f>
        <v>Found</v>
      </c>
      <c r="M22" t="str">
        <f t="shared" si="4"/>
        <v>Valid Date</v>
      </c>
      <c r="N22" t="str">
        <f t="shared" si="5"/>
        <v>Good</v>
      </c>
    </row>
    <row r="23" spans="1:14" x14ac:dyDescent="0.45">
      <c r="A23" t="s">
        <v>235</v>
      </c>
      <c r="B23" t="s">
        <v>127</v>
      </c>
      <c r="C23" s="5">
        <v>46227</v>
      </c>
      <c r="D23">
        <v>100</v>
      </c>
      <c r="E23">
        <v>3</v>
      </c>
      <c r="F23">
        <v>50</v>
      </c>
      <c r="G23" t="str">
        <f>IF(B23="","Missing Product ID","Present")</f>
        <v>Present</v>
      </c>
      <c r="H23" t="str">
        <f t="shared" si="0"/>
        <v>Unique</v>
      </c>
      <c r="I23" t="str">
        <f t="shared" si="1"/>
        <v>Valid</v>
      </c>
      <c r="J23" t="str">
        <f t="shared" si="2"/>
        <v>Valid</v>
      </c>
      <c r="K23" t="str">
        <f t="shared" si="3"/>
        <v>Valid</v>
      </c>
      <c r="L23" t="str">
        <f>IF(B23="","Missing Product ID",IF(COUNTIF(Product_Master!A:A,B23)&gt;0,"Found","Not Found"))</f>
        <v>Found</v>
      </c>
      <c r="M23" t="str">
        <f t="shared" si="4"/>
        <v>Valid Date</v>
      </c>
      <c r="N23" t="str">
        <f t="shared" si="5"/>
        <v>Good</v>
      </c>
    </row>
    <row r="24" spans="1:14" x14ac:dyDescent="0.45">
      <c r="A24" t="s">
        <v>236</v>
      </c>
      <c r="B24" t="s">
        <v>95</v>
      </c>
      <c r="C24" s="5">
        <v>46130</v>
      </c>
      <c r="D24">
        <v>150</v>
      </c>
      <c r="E24">
        <v>0</v>
      </c>
      <c r="F24">
        <v>100</v>
      </c>
      <c r="G24" t="str">
        <f>IF(B24="","Missing Product ID","Present")</f>
        <v>Present</v>
      </c>
      <c r="H24" t="str">
        <f t="shared" si="0"/>
        <v>Unique</v>
      </c>
      <c r="I24" t="str">
        <f t="shared" si="1"/>
        <v>Valid</v>
      </c>
      <c r="J24" t="str">
        <f t="shared" si="2"/>
        <v>Invalid Lead Time</v>
      </c>
      <c r="K24" t="str">
        <f t="shared" si="3"/>
        <v>Valid</v>
      </c>
      <c r="L24" t="str">
        <f>IF(B24="","Missing Product ID",IF(COUNTIF(Product_Master!A:A,B24)&gt;0,"Found","Not Found"))</f>
        <v>Found</v>
      </c>
      <c r="M24" t="str">
        <f t="shared" si="4"/>
        <v>Valid Date</v>
      </c>
      <c r="N24" t="str">
        <f t="shared" si="5"/>
        <v>Needs Review</v>
      </c>
    </row>
    <row r="25" spans="1:14" x14ac:dyDescent="0.45">
      <c r="A25" t="s">
        <v>237</v>
      </c>
      <c r="B25" t="s">
        <v>123</v>
      </c>
      <c r="C25" s="5">
        <v>46157</v>
      </c>
      <c r="D25">
        <v>200</v>
      </c>
      <c r="E25">
        <v>8</v>
      </c>
      <c r="F25">
        <v>100</v>
      </c>
      <c r="G25" t="str">
        <f>IF(B25="","Missing Product ID","Present")</f>
        <v>Present</v>
      </c>
      <c r="H25" t="str">
        <f t="shared" si="0"/>
        <v>Unique</v>
      </c>
      <c r="I25" t="str">
        <f t="shared" si="1"/>
        <v>Valid</v>
      </c>
      <c r="J25" t="str">
        <f t="shared" si="2"/>
        <v>Valid</v>
      </c>
      <c r="K25" t="str">
        <f t="shared" si="3"/>
        <v>Valid</v>
      </c>
      <c r="L25" t="str">
        <f>IF(B25="","Missing Product ID",IF(COUNTIF(Product_Master!A:A,B25)&gt;0,"Found","Not Found"))</f>
        <v>Found</v>
      </c>
      <c r="M25" t="str">
        <f t="shared" si="4"/>
        <v>Valid Date</v>
      </c>
      <c r="N25" t="str">
        <f t="shared" si="5"/>
        <v>Good</v>
      </c>
    </row>
    <row r="26" spans="1:14" x14ac:dyDescent="0.45">
      <c r="A26" t="s">
        <v>238</v>
      </c>
      <c r="B26" t="s">
        <v>71</v>
      </c>
      <c r="C26" s="5">
        <v>46055</v>
      </c>
      <c r="D26">
        <v>150</v>
      </c>
      <c r="E26">
        <v>9</v>
      </c>
      <c r="F26">
        <v>250</v>
      </c>
      <c r="G26" t="str">
        <f>IF(B26="","Missing Product ID","Present")</f>
        <v>Present</v>
      </c>
      <c r="H26" t="str">
        <f t="shared" si="0"/>
        <v>Unique</v>
      </c>
      <c r="I26" t="str">
        <f t="shared" si="1"/>
        <v>Valid</v>
      </c>
      <c r="J26" t="str">
        <f t="shared" si="2"/>
        <v>Valid</v>
      </c>
      <c r="K26" t="str">
        <f t="shared" si="3"/>
        <v>Valid</v>
      </c>
      <c r="L26" t="str">
        <f>IF(B26="","Missing Product ID",IF(COUNTIF(Product_Master!A:A,B26)&gt;0,"Found","Not Found"))</f>
        <v>Found</v>
      </c>
      <c r="M26" t="str">
        <f t="shared" si="4"/>
        <v>Valid Date</v>
      </c>
      <c r="N26" t="str">
        <f t="shared" si="5"/>
        <v>Good</v>
      </c>
    </row>
    <row r="27" spans="1:14" x14ac:dyDescent="0.45">
      <c r="A27" t="s">
        <v>239</v>
      </c>
      <c r="B27" t="s">
        <v>175</v>
      </c>
      <c r="C27" s="5">
        <v>46118</v>
      </c>
      <c r="D27">
        <v>1000</v>
      </c>
      <c r="E27">
        <v>2</v>
      </c>
      <c r="F27">
        <v>50</v>
      </c>
      <c r="G27" t="str">
        <f>IF(B27="","Missing Product ID","Present")</f>
        <v>Present</v>
      </c>
      <c r="H27" t="str">
        <f t="shared" si="0"/>
        <v>Unique</v>
      </c>
      <c r="I27" t="str">
        <f t="shared" si="1"/>
        <v>Valid</v>
      </c>
      <c r="J27" t="str">
        <f t="shared" si="2"/>
        <v>Valid</v>
      </c>
      <c r="K27" t="str">
        <f t="shared" si="3"/>
        <v>Valid</v>
      </c>
      <c r="L27" t="str">
        <f>IF(B27="","Missing Product ID",IF(COUNTIF(Product_Master!A:A,B27)&gt;0,"Found","Not Found"))</f>
        <v>Found</v>
      </c>
      <c r="M27" t="str">
        <f t="shared" si="4"/>
        <v>Valid Date</v>
      </c>
      <c r="N27" t="str">
        <f t="shared" si="5"/>
        <v>Good</v>
      </c>
    </row>
    <row r="28" spans="1:14" x14ac:dyDescent="0.45">
      <c r="A28" t="s">
        <v>240</v>
      </c>
      <c r="B28" t="s">
        <v>113</v>
      </c>
      <c r="C28" s="5">
        <v>46205</v>
      </c>
      <c r="D28">
        <v>750</v>
      </c>
      <c r="E28">
        <v>9</v>
      </c>
      <c r="F28">
        <v>100</v>
      </c>
      <c r="G28" t="str">
        <f>IF(B28="","Missing Product ID","Present")</f>
        <v>Present</v>
      </c>
      <c r="H28" t="str">
        <f t="shared" si="0"/>
        <v>Unique</v>
      </c>
      <c r="I28" t="str">
        <f t="shared" si="1"/>
        <v>Valid</v>
      </c>
      <c r="J28" t="str">
        <f t="shared" si="2"/>
        <v>Valid</v>
      </c>
      <c r="K28" t="str">
        <f t="shared" si="3"/>
        <v>Valid</v>
      </c>
      <c r="L28" t="str">
        <f>IF(B28="","Missing Product ID",IF(COUNTIF(Product_Master!A:A,B28)&gt;0,"Found","Not Found"))</f>
        <v>Found</v>
      </c>
      <c r="M28" t="str">
        <f t="shared" si="4"/>
        <v>Valid Date</v>
      </c>
      <c r="N28" t="str">
        <f t="shared" si="5"/>
        <v>Good</v>
      </c>
    </row>
    <row r="29" spans="1:14" x14ac:dyDescent="0.45">
      <c r="A29" t="s">
        <v>241</v>
      </c>
      <c r="B29" t="s">
        <v>51</v>
      </c>
      <c r="C29" s="5">
        <v>46168</v>
      </c>
      <c r="D29">
        <v>500</v>
      </c>
      <c r="E29">
        <v>2</v>
      </c>
      <c r="F29">
        <v>200</v>
      </c>
      <c r="G29" t="str">
        <f>IF(B29="","Missing Product ID","Present")</f>
        <v>Present</v>
      </c>
      <c r="H29" t="str">
        <f t="shared" si="0"/>
        <v>Unique</v>
      </c>
      <c r="I29" t="str">
        <f t="shared" si="1"/>
        <v>Valid</v>
      </c>
      <c r="J29" t="str">
        <f t="shared" si="2"/>
        <v>Valid</v>
      </c>
      <c r="K29" t="str">
        <f t="shared" si="3"/>
        <v>Valid</v>
      </c>
      <c r="L29" t="str">
        <f>IF(B29="","Missing Product ID",IF(COUNTIF(Product_Master!A:A,B29)&gt;0,"Found","Not Found"))</f>
        <v>Found</v>
      </c>
      <c r="M29" t="str">
        <f t="shared" si="4"/>
        <v>Valid Date</v>
      </c>
      <c r="N29" t="str">
        <f t="shared" si="5"/>
        <v>Good</v>
      </c>
    </row>
    <row r="30" spans="1:14" x14ac:dyDescent="0.45">
      <c r="A30" t="s">
        <v>242</v>
      </c>
      <c r="B30" t="s">
        <v>125</v>
      </c>
      <c r="C30" s="5">
        <v>46349</v>
      </c>
      <c r="D30">
        <v>300</v>
      </c>
      <c r="E30">
        <v>8</v>
      </c>
      <c r="F30">
        <v>250</v>
      </c>
      <c r="G30" t="str">
        <f>IF(B30="","Missing Product ID","Present")</f>
        <v>Present</v>
      </c>
      <c r="H30" t="str">
        <f t="shared" si="0"/>
        <v>Unique</v>
      </c>
      <c r="I30" t="str">
        <f t="shared" si="1"/>
        <v>Valid</v>
      </c>
      <c r="J30" t="str">
        <f t="shared" si="2"/>
        <v>Valid</v>
      </c>
      <c r="K30" t="str">
        <f t="shared" si="3"/>
        <v>Valid</v>
      </c>
      <c r="L30" t="str">
        <f>IF(B30="","Missing Product ID",IF(COUNTIF(Product_Master!A:A,B30)&gt;0,"Found","Not Found"))</f>
        <v>Found</v>
      </c>
      <c r="M30" t="str">
        <f t="shared" si="4"/>
        <v>Valid Date</v>
      </c>
      <c r="N30" t="str">
        <f t="shared" si="5"/>
        <v>Good</v>
      </c>
    </row>
    <row r="31" spans="1:14" x14ac:dyDescent="0.45">
      <c r="A31" t="s">
        <v>243</v>
      </c>
      <c r="B31" t="s">
        <v>133</v>
      </c>
      <c r="C31" s="5">
        <v>46114</v>
      </c>
      <c r="D31">
        <v>200</v>
      </c>
      <c r="E31">
        <v>5</v>
      </c>
      <c r="F31">
        <v>150</v>
      </c>
      <c r="G31" t="str">
        <f>IF(B31="","Missing Product ID","Present")</f>
        <v>Present</v>
      </c>
      <c r="H31" t="str">
        <f t="shared" si="0"/>
        <v>Unique</v>
      </c>
      <c r="I31" t="str">
        <f t="shared" si="1"/>
        <v>Valid</v>
      </c>
      <c r="J31" t="str">
        <f t="shared" si="2"/>
        <v>Valid</v>
      </c>
      <c r="K31" t="str">
        <f t="shared" si="3"/>
        <v>Valid</v>
      </c>
      <c r="L31" t="str">
        <f>IF(B31="","Missing Product ID",IF(COUNTIF(Product_Master!A:A,B31)&gt;0,"Found","Not Found"))</f>
        <v>Found</v>
      </c>
      <c r="M31" t="str">
        <f t="shared" si="4"/>
        <v>Valid Date</v>
      </c>
      <c r="N31" t="str">
        <f t="shared" si="5"/>
        <v>Good</v>
      </c>
    </row>
    <row r="32" spans="1:14" x14ac:dyDescent="0.45">
      <c r="A32" t="s">
        <v>244</v>
      </c>
      <c r="B32" t="s">
        <v>157</v>
      </c>
      <c r="C32" s="5">
        <v>46024</v>
      </c>
      <c r="D32">
        <v>1000</v>
      </c>
      <c r="E32">
        <v>2</v>
      </c>
      <c r="F32">
        <v>-10</v>
      </c>
      <c r="G32" t="str">
        <f>IF(B32="","Missing Product ID","Present")</f>
        <v>Present</v>
      </c>
      <c r="H32" t="str">
        <f t="shared" si="0"/>
        <v>Unique</v>
      </c>
      <c r="I32" t="str">
        <f t="shared" si="1"/>
        <v>Valid</v>
      </c>
      <c r="J32" t="str">
        <f t="shared" si="2"/>
        <v>Valid</v>
      </c>
      <c r="K32" t="str">
        <f t="shared" si="3"/>
        <v>Invalid</v>
      </c>
      <c r="L32" t="str">
        <f>IF(B32="","Missing Product ID",IF(COUNTIF(Product_Master!A:A,B32)&gt;0,"Found","Not Found"))</f>
        <v>Found</v>
      </c>
      <c r="M32" t="str">
        <f t="shared" si="4"/>
        <v>Valid Date</v>
      </c>
      <c r="N32" t="str">
        <f t="shared" si="5"/>
        <v>Needs Review</v>
      </c>
    </row>
    <row r="33" spans="1:14" x14ac:dyDescent="0.45">
      <c r="A33" t="s">
        <v>245</v>
      </c>
      <c r="B33" t="s">
        <v>157</v>
      </c>
      <c r="C33" s="5">
        <v>46083</v>
      </c>
      <c r="D33">
        <v>750</v>
      </c>
      <c r="E33">
        <v>10</v>
      </c>
      <c r="F33">
        <v>250</v>
      </c>
      <c r="G33" t="str">
        <f>IF(B33="","Missing Product ID","Present")</f>
        <v>Present</v>
      </c>
      <c r="H33" t="str">
        <f t="shared" si="0"/>
        <v>Unique</v>
      </c>
      <c r="I33" t="str">
        <f t="shared" si="1"/>
        <v>Valid</v>
      </c>
      <c r="J33" t="str">
        <f t="shared" si="2"/>
        <v>Valid</v>
      </c>
      <c r="K33" t="str">
        <f t="shared" si="3"/>
        <v>Valid</v>
      </c>
      <c r="L33" t="str">
        <f>IF(B33="","Missing Product ID",IF(COUNTIF(Product_Master!A:A,B33)&gt;0,"Found","Not Found"))</f>
        <v>Found</v>
      </c>
      <c r="M33" t="str">
        <f t="shared" si="4"/>
        <v>Valid Date</v>
      </c>
      <c r="N33" t="str">
        <f t="shared" si="5"/>
        <v>Good</v>
      </c>
    </row>
    <row r="34" spans="1:14" x14ac:dyDescent="0.45">
      <c r="A34" t="s">
        <v>246</v>
      </c>
      <c r="B34" t="s">
        <v>139</v>
      </c>
      <c r="C34" s="5">
        <v>46298</v>
      </c>
      <c r="D34">
        <v>150</v>
      </c>
      <c r="E34">
        <v>4</v>
      </c>
      <c r="F34">
        <v>50</v>
      </c>
      <c r="G34" t="str">
        <f>IF(B34="","Missing Product ID","Present")</f>
        <v>Present</v>
      </c>
      <c r="H34" t="str">
        <f t="shared" si="0"/>
        <v>Unique</v>
      </c>
      <c r="I34" t="str">
        <f t="shared" si="1"/>
        <v>Valid</v>
      </c>
      <c r="J34" t="str">
        <f t="shared" si="2"/>
        <v>Valid</v>
      </c>
      <c r="K34" t="str">
        <f t="shared" si="3"/>
        <v>Valid</v>
      </c>
      <c r="L34" t="str">
        <f>IF(B34="","Missing Product ID",IF(COUNTIF(Product_Master!A:A,B34)&gt;0,"Found","Not Found"))</f>
        <v>Found</v>
      </c>
      <c r="M34" t="str">
        <f t="shared" si="4"/>
        <v>Valid Date</v>
      </c>
      <c r="N34" t="str">
        <f t="shared" si="5"/>
        <v>Good</v>
      </c>
    </row>
    <row r="35" spans="1:14" x14ac:dyDescent="0.45">
      <c r="A35" t="s">
        <v>247</v>
      </c>
      <c r="B35" t="s">
        <v>181</v>
      </c>
      <c r="C35" s="5">
        <v>46303</v>
      </c>
      <c r="D35">
        <v>250</v>
      </c>
      <c r="E35">
        <v>8</v>
      </c>
      <c r="F35">
        <v>50</v>
      </c>
      <c r="G35" t="str">
        <f>IF(B35="","Missing Product ID","Present")</f>
        <v>Present</v>
      </c>
      <c r="H35" t="str">
        <f t="shared" si="0"/>
        <v>Unique</v>
      </c>
      <c r="I35" t="str">
        <f t="shared" si="1"/>
        <v>Valid</v>
      </c>
      <c r="J35" t="str">
        <f t="shared" si="2"/>
        <v>Valid</v>
      </c>
      <c r="K35" t="str">
        <f t="shared" si="3"/>
        <v>Valid</v>
      </c>
      <c r="L35" t="str">
        <f>IF(B35="","Missing Product ID",IF(COUNTIF(Product_Master!A:A,B35)&gt;0,"Found","Not Found"))</f>
        <v>Found</v>
      </c>
      <c r="M35" t="str">
        <f t="shared" si="4"/>
        <v>Valid Date</v>
      </c>
      <c r="N35" t="str">
        <f t="shared" si="5"/>
        <v>Good</v>
      </c>
    </row>
    <row r="36" spans="1:14" x14ac:dyDescent="0.45">
      <c r="A36" t="s">
        <v>248</v>
      </c>
      <c r="B36" t="s">
        <v>157</v>
      </c>
      <c r="C36" s="5">
        <v>46345</v>
      </c>
      <c r="D36">
        <v>100</v>
      </c>
      <c r="E36">
        <v>3</v>
      </c>
      <c r="F36">
        <v>200</v>
      </c>
      <c r="G36" t="str">
        <f>IF(B36="","Missing Product ID","Present")</f>
        <v>Present</v>
      </c>
      <c r="H36" t="str">
        <f t="shared" si="0"/>
        <v>Unique</v>
      </c>
      <c r="I36" t="str">
        <f t="shared" si="1"/>
        <v>Valid</v>
      </c>
      <c r="J36" t="str">
        <f t="shared" si="2"/>
        <v>Valid</v>
      </c>
      <c r="K36" t="str">
        <f t="shared" si="3"/>
        <v>Valid</v>
      </c>
      <c r="L36" t="str">
        <f>IF(B36="","Missing Product ID",IF(COUNTIF(Product_Master!A:A,B36)&gt;0,"Found","Not Found"))</f>
        <v>Found</v>
      </c>
      <c r="M36" t="str">
        <f t="shared" si="4"/>
        <v>Valid Date</v>
      </c>
      <c r="N36" t="str">
        <f t="shared" si="5"/>
        <v>Good</v>
      </c>
    </row>
    <row r="37" spans="1:14" x14ac:dyDescent="0.45">
      <c r="A37" t="s">
        <v>249</v>
      </c>
      <c r="B37" t="s">
        <v>153</v>
      </c>
      <c r="C37" s="5">
        <v>46134</v>
      </c>
      <c r="D37">
        <v>1000</v>
      </c>
      <c r="E37">
        <v>7</v>
      </c>
      <c r="F37">
        <v>150</v>
      </c>
      <c r="G37" t="str">
        <f>IF(B37="","Missing Product ID","Present")</f>
        <v>Present</v>
      </c>
      <c r="H37" t="str">
        <f t="shared" si="0"/>
        <v>Unique</v>
      </c>
      <c r="I37" t="str">
        <f t="shared" si="1"/>
        <v>Valid</v>
      </c>
      <c r="J37" t="str">
        <f t="shared" si="2"/>
        <v>Valid</v>
      </c>
      <c r="K37" t="str">
        <f t="shared" si="3"/>
        <v>Valid</v>
      </c>
      <c r="L37" t="str">
        <f>IF(B37="","Missing Product ID",IF(COUNTIF(Product_Master!A:A,B37)&gt;0,"Found","Not Found"))</f>
        <v>Found</v>
      </c>
      <c r="M37" t="str">
        <f t="shared" si="4"/>
        <v>Valid Date</v>
      </c>
      <c r="N37" t="str">
        <f t="shared" si="5"/>
        <v>Good</v>
      </c>
    </row>
    <row r="38" spans="1:14" x14ac:dyDescent="0.45">
      <c r="A38" t="s">
        <v>250</v>
      </c>
      <c r="B38" t="s">
        <v>191</v>
      </c>
      <c r="C38" s="5">
        <v>46208</v>
      </c>
      <c r="D38">
        <v>400</v>
      </c>
      <c r="E38">
        <v>5</v>
      </c>
      <c r="F38">
        <v>150</v>
      </c>
      <c r="G38" t="str">
        <f>IF(B38="","Missing Product ID","Present")</f>
        <v>Present</v>
      </c>
      <c r="H38" t="str">
        <f t="shared" si="0"/>
        <v>Unique</v>
      </c>
      <c r="I38" t="str">
        <f t="shared" si="1"/>
        <v>Valid</v>
      </c>
      <c r="J38" t="str">
        <f t="shared" si="2"/>
        <v>Valid</v>
      </c>
      <c r="K38" t="str">
        <f t="shared" si="3"/>
        <v>Valid</v>
      </c>
      <c r="L38" t="str">
        <f>IF(B38="","Missing Product ID",IF(COUNTIF(Product_Master!A:A,B38)&gt;0,"Found","Not Found"))</f>
        <v>Found</v>
      </c>
      <c r="M38" t="str">
        <f t="shared" si="4"/>
        <v>Valid Date</v>
      </c>
      <c r="N38" t="str">
        <f t="shared" si="5"/>
        <v>Good</v>
      </c>
    </row>
    <row r="39" spans="1:14" x14ac:dyDescent="0.45">
      <c r="A39" t="s">
        <v>251</v>
      </c>
      <c r="B39" t="s">
        <v>179</v>
      </c>
      <c r="C39" s="5">
        <v>46054</v>
      </c>
      <c r="D39">
        <v>300</v>
      </c>
      <c r="E39">
        <v>9</v>
      </c>
      <c r="F39">
        <v>150</v>
      </c>
      <c r="G39" t="str">
        <f>IF(B39="","Missing Product ID","Present")</f>
        <v>Present</v>
      </c>
      <c r="H39" t="str">
        <f t="shared" si="0"/>
        <v>Unique</v>
      </c>
      <c r="I39" t="str">
        <f t="shared" si="1"/>
        <v>Valid</v>
      </c>
      <c r="J39" t="str">
        <f t="shared" si="2"/>
        <v>Valid</v>
      </c>
      <c r="K39" t="str">
        <f t="shared" si="3"/>
        <v>Valid</v>
      </c>
      <c r="L39" t="str">
        <f>IF(B39="","Missing Product ID",IF(COUNTIF(Product_Master!A:A,B39)&gt;0,"Found","Not Found"))</f>
        <v>Found</v>
      </c>
      <c r="M39" t="str">
        <f t="shared" si="4"/>
        <v>Valid Date</v>
      </c>
      <c r="N39" t="str">
        <f t="shared" si="5"/>
        <v>Good</v>
      </c>
    </row>
    <row r="40" spans="1:14" x14ac:dyDescent="0.45">
      <c r="A40" t="s">
        <v>252</v>
      </c>
      <c r="B40" t="s">
        <v>125</v>
      </c>
      <c r="C40" s="5">
        <v>46129</v>
      </c>
      <c r="D40">
        <v>150</v>
      </c>
      <c r="E40">
        <v>3</v>
      </c>
      <c r="F40">
        <v>250</v>
      </c>
      <c r="G40" t="str">
        <f>IF(B40="","Missing Product ID","Present")</f>
        <v>Present</v>
      </c>
      <c r="H40" t="str">
        <f t="shared" si="0"/>
        <v>Unique</v>
      </c>
      <c r="I40" t="str">
        <f t="shared" si="1"/>
        <v>Valid</v>
      </c>
      <c r="J40" t="str">
        <f t="shared" si="2"/>
        <v>Valid</v>
      </c>
      <c r="K40" t="str">
        <f t="shared" si="3"/>
        <v>Valid</v>
      </c>
      <c r="L40" t="str">
        <f>IF(B40="","Missing Product ID",IF(COUNTIF(Product_Master!A:A,B40)&gt;0,"Found","Not Found"))</f>
        <v>Found</v>
      </c>
      <c r="M40" t="str">
        <f t="shared" si="4"/>
        <v>Valid Date</v>
      </c>
      <c r="N40" t="str">
        <f t="shared" si="5"/>
        <v>Good</v>
      </c>
    </row>
    <row r="41" spans="1:14" x14ac:dyDescent="0.45">
      <c r="A41" t="s">
        <v>253</v>
      </c>
      <c r="B41" t="s">
        <v>75</v>
      </c>
      <c r="C41" s="5">
        <v>46124</v>
      </c>
      <c r="D41">
        <v>200</v>
      </c>
      <c r="E41">
        <v>7</v>
      </c>
      <c r="F41">
        <v>50</v>
      </c>
      <c r="G41" t="str">
        <f>IF(B41="","Missing Product ID","Present")</f>
        <v>Present</v>
      </c>
      <c r="H41" t="str">
        <f t="shared" si="0"/>
        <v>Unique</v>
      </c>
      <c r="I41" t="str">
        <f t="shared" si="1"/>
        <v>Valid</v>
      </c>
      <c r="J41" t="str">
        <f t="shared" si="2"/>
        <v>Valid</v>
      </c>
      <c r="K41" t="str">
        <f t="shared" si="3"/>
        <v>Valid</v>
      </c>
      <c r="L41" t="str">
        <f>IF(B41="","Missing Product ID",IF(COUNTIF(Product_Master!A:A,B41)&gt;0,"Found","Not Found"))</f>
        <v>Found</v>
      </c>
      <c r="M41" t="str">
        <f t="shared" si="4"/>
        <v>Valid Date</v>
      </c>
      <c r="N41" t="str">
        <f t="shared" si="5"/>
        <v>Good</v>
      </c>
    </row>
    <row r="42" spans="1:14" x14ac:dyDescent="0.45">
      <c r="A42" t="s">
        <v>254</v>
      </c>
      <c r="B42" t="s">
        <v>81</v>
      </c>
      <c r="C42" s="5">
        <v>46366</v>
      </c>
      <c r="D42">
        <v>200</v>
      </c>
      <c r="E42">
        <v>9</v>
      </c>
      <c r="F42">
        <v>250</v>
      </c>
      <c r="G42" t="str">
        <f>IF(B42="","Missing Product ID","Present")</f>
        <v>Present</v>
      </c>
      <c r="H42" t="str">
        <f t="shared" si="0"/>
        <v>Unique</v>
      </c>
      <c r="I42" t="str">
        <f t="shared" si="1"/>
        <v>Valid</v>
      </c>
      <c r="J42" t="str">
        <f t="shared" si="2"/>
        <v>Valid</v>
      </c>
      <c r="K42" t="str">
        <f t="shared" si="3"/>
        <v>Valid</v>
      </c>
      <c r="L42" t="str">
        <f>IF(B42="","Missing Product ID",IF(COUNTIF(Product_Master!A:A,B42)&gt;0,"Found","Not Found"))</f>
        <v>Found</v>
      </c>
      <c r="M42" t="str">
        <f t="shared" si="4"/>
        <v>Valid Date</v>
      </c>
      <c r="N42" t="str">
        <f t="shared" si="5"/>
        <v>Good</v>
      </c>
    </row>
    <row r="43" spans="1:14" x14ac:dyDescent="0.45">
      <c r="A43" t="s">
        <v>255</v>
      </c>
      <c r="C43" s="5">
        <v>46164</v>
      </c>
      <c r="D43">
        <v>1000</v>
      </c>
      <c r="E43">
        <v>2</v>
      </c>
      <c r="F43">
        <v>250</v>
      </c>
      <c r="G43" t="str">
        <f>IF(B43="","Missing Product ID","Present")</f>
        <v>Missing Product ID</v>
      </c>
      <c r="H43" t="str">
        <f t="shared" si="0"/>
        <v>Unique</v>
      </c>
      <c r="I43" t="str">
        <f t="shared" si="1"/>
        <v>Valid</v>
      </c>
      <c r="J43" t="str">
        <f t="shared" si="2"/>
        <v>Valid</v>
      </c>
      <c r="K43" t="str">
        <f t="shared" si="3"/>
        <v>Valid</v>
      </c>
      <c r="L43" t="str">
        <f>IF(B43="","Missing Product ID",IF(COUNTIF(Product_Master!A:A,B43)&gt;0,"Found","Not Found"))</f>
        <v>Missing Product ID</v>
      </c>
      <c r="M43" t="str">
        <f t="shared" si="4"/>
        <v>Valid Date</v>
      </c>
      <c r="N43" t="str">
        <f t="shared" si="5"/>
        <v>Needs Review</v>
      </c>
    </row>
    <row r="44" spans="1:14" x14ac:dyDescent="0.45">
      <c r="A44" t="s">
        <v>256</v>
      </c>
      <c r="B44" t="s">
        <v>35</v>
      </c>
      <c r="C44" s="5">
        <v>46077</v>
      </c>
      <c r="D44">
        <v>200</v>
      </c>
      <c r="E44">
        <v>6</v>
      </c>
      <c r="F44">
        <v>50</v>
      </c>
      <c r="G44" t="str">
        <f>IF(B44="","Missing Product ID","Present")</f>
        <v>Present</v>
      </c>
      <c r="H44" t="str">
        <f t="shared" si="0"/>
        <v>Unique</v>
      </c>
      <c r="I44" t="str">
        <f t="shared" si="1"/>
        <v>Valid</v>
      </c>
      <c r="J44" t="str">
        <f t="shared" si="2"/>
        <v>Valid</v>
      </c>
      <c r="K44" t="str">
        <f t="shared" si="3"/>
        <v>Valid</v>
      </c>
      <c r="L44" t="str">
        <f>IF(B44="","Missing Product ID",IF(COUNTIF(Product_Master!A:A,B44)&gt;0,"Found","Not Found"))</f>
        <v>Found</v>
      </c>
      <c r="M44" t="str">
        <f t="shared" si="4"/>
        <v>Valid Date</v>
      </c>
      <c r="N44" t="str">
        <f t="shared" si="5"/>
        <v>Good</v>
      </c>
    </row>
    <row r="45" spans="1:14" x14ac:dyDescent="0.45">
      <c r="A45" t="s">
        <v>257</v>
      </c>
      <c r="B45" t="s">
        <v>149</v>
      </c>
      <c r="C45" s="5">
        <v>46302</v>
      </c>
      <c r="D45">
        <v>200</v>
      </c>
      <c r="E45">
        <v>6</v>
      </c>
      <c r="F45">
        <v>150</v>
      </c>
      <c r="G45" t="str">
        <f>IF(B45="","Missing Product ID","Present")</f>
        <v>Present</v>
      </c>
      <c r="H45" t="str">
        <f t="shared" si="0"/>
        <v>Unique</v>
      </c>
      <c r="I45" t="str">
        <f t="shared" si="1"/>
        <v>Valid</v>
      </c>
      <c r="J45" t="str">
        <f t="shared" si="2"/>
        <v>Valid</v>
      </c>
      <c r="K45" t="str">
        <f t="shared" si="3"/>
        <v>Valid</v>
      </c>
      <c r="L45" t="str">
        <f>IF(B45="","Missing Product ID",IF(COUNTIF(Product_Master!A:A,B45)&gt;0,"Found","Not Found"))</f>
        <v>Found</v>
      </c>
      <c r="M45" t="str">
        <f t="shared" si="4"/>
        <v>Valid Date</v>
      </c>
      <c r="N45" t="str">
        <f t="shared" si="5"/>
        <v>Good</v>
      </c>
    </row>
    <row r="46" spans="1:14" x14ac:dyDescent="0.45">
      <c r="A46" t="s">
        <v>258</v>
      </c>
      <c r="B46" t="s">
        <v>191</v>
      </c>
      <c r="C46" s="5">
        <v>46281</v>
      </c>
      <c r="D46">
        <v>400</v>
      </c>
      <c r="E46">
        <v>5</v>
      </c>
      <c r="F46">
        <v>150</v>
      </c>
      <c r="G46" t="str">
        <f>IF(B46="","Missing Product ID","Present")</f>
        <v>Present</v>
      </c>
      <c r="H46" t="str">
        <f t="shared" si="0"/>
        <v>Unique</v>
      </c>
      <c r="I46" t="str">
        <f t="shared" si="1"/>
        <v>Valid</v>
      </c>
      <c r="J46" t="str">
        <f t="shared" si="2"/>
        <v>Valid</v>
      </c>
      <c r="K46" t="str">
        <f t="shared" si="3"/>
        <v>Valid</v>
      </c>
      <c r="L46" t="str">
        <f>IF(B46="","Missing Product ID",IF(COUNTIF(Product_Master!A:A,B46)&gt;0,"Found","Not Found"))</f>
        <v>Found</v>
      </c>
      <c r="M46" t="str">
        <f t="shared" si="4"/>
        <v>Valid Date</v>
      </c>
      <c r="N46" t="str">
        <f t="shared" si="5"/>
        <v>Good</v>
      </c>
    </row>
    <row r="47" spans="1:14" x14ac:dyDescent="0.45">
      <c r="A47" t="s">
        <v>259</v>
      </c>
      <c r="B47" t="s">
        <v>73</v>
      </c>
      <c r="C47" s="5">
        <v>46144</v>
      </c>
      <c r="D47">
        <v>100</v>
      </c>
      <c r="E47">
        <v>3</v>
      </c>
      <c r="F47">
        <v>200</v>
      </c>
      <c r="G47" t="str">
        <f>IF(B47="","Missing Product ID","Present")</f>
        <v>Present</v>
      </c>
      <c r="H47" t="str">
        <f t="shared" si="0"/>
        <v>Unique</v>
      </c>
      <c r="I47" t="str">
        <f t="shared" si="1"/>
        <v>Valid</v>
      </c>
      <c r="J47" t="str">
        <f t="shared" si="2"/>
        <v>Valid</v>
      </c>
      <c r="K47" t="str">
        <f t="shared" si="3"/>
        <v>Valid</v>
      </c>
      <c r="L47" t="str">
        <f>IF(B47="","Missing Product ID",IF(COUNTIF(Product_Master!A:A,B47)&gt;0,"Found","Not Found"))</f>
        <v>Found</v>
      </c>
      <c r="M47" t="str">
        <f t="shared" si="4"/>
        <v>Valid Date</v>
      </c>
      <c r="N47" t="str">
        <f t="shared" si="5"/>
        <v>Good</v>
      </c>
    </row>
    <row r="48" spans="1:14" x14ac:dyDescent="0.45">
      <c r="A48" t="s">
        <v>260</v>
      </c>
      <c r="B48" t="s">
        <v>4</v>
      </c>
      <c r="C48" s="5">
        <v>46105</v>
      </c>
      <c r="D48">
        <v>400</v>
      </c>
      <c r="E48">
        <v>4</v>
      </c>
      <c r="F48">
        <v>150</v>
      </c>
      <c r="G48" t="str">
        <f>IF(B48="","Missing Product ID","Present")</f>
        <v>Present</v>
      </c>
      <c r="H48" t="str">
        <f t="shared" si="0"/>
        <v>Unique</v>
      </c>
      <c r="I48" t="str">
        <f t="shared" si="1"/>
        <v>Valid</v>
      </c>
      <c r="J48" t="str">
        <f t="shared" si="2"/>
        <v>Valid</v>
      </c>
      <c r="K48" t="str">
        <f t="shared" si="3"/>
        <v>Valid</v>
      </c>
      <c r="L48" t="str">
        <f>IF(B48="","Missing Product ID",IF(COUNTIF(Product_Master!A:A,B48)&gt;0,"Found","Not Found"))</f>
        <v>Found</v>
      </c>
      <c r="M48" t="str">
        <f t="shared" si="4"/>
        <v>Valid Date</v>
      </c>
      <c r="N48" t="str">
        <f t="shared" si="5"/>
        <v>Good</v>
      </c>
    </row>
    <row r="49" spans="1:14" x14ac:dyDescent="0.45">
      <c r="A49" t="s">
        <v>261</v>
      </c>
      <c r="B49" t="s">
        <v>121</v>
      </c>
      <c r="C49" s="5">
        <v>46026</v>
      </c>
      <c r="D49">
        <v>1000</v>
      </c>
      <c r="E49">
        <v>8</v>
      </c>
      <c r="F49">
        <v>250</v>
      </c>
      <c r="G49" t="str">
        <f>IF(B49="","Missing Product ID","Present")</f>
        <v>Present</v>
      </c>
      <c r="H49" t="str">
        <f t="shared" si="0"/>
        <v>Unique</v>
      </c>
      <c r="I49" t="str">
        <f t="shared" si="1"/>
        <v>Valid</v>
      </c>
      <c r="J49" t="str">
        <f t="shared" si="2"/>
        <v>Valid</v>
      </c>
      <c r="K49" t="str">
        <f t="shared" si="3"/>
        <v>Valid</v>
      </c>
      <c r="L49" t="str">
        <f>IF(B49="","Missing Product ID",IF(COUNTIF(Product_Master!A:A,B49)&gt;0,"Found","Not Found"))</f>
        <v>Found</v>
      </c>
      <c r="M49" t="str">
        <f t="shared" si="4"/>
        <v>Valid Date</v>
      </c>
      <c r="N49" t="str">
        <f t="shared" si="5"/>
        <v>Good</v>
      </c>
    </row>
    <row r="50" spans="1:14" x14ac:dyDescent="0.45">
      <c r="A50" t="s">
        <v>262</v>
      </c>
      <c r="B50" t="s">
        <v>27</v>
      </c>
      <c r="C50" s="5">
        <v>46192</v>
      </c>
      <c r="D50">
        <v>200</v>
      </c>
      <c r="E50">
        <v>10</v>
      </c>
      <c r="F50">
        <v>50</v>
      </c>
      <c r="G50" t="str">
        <f>IF(B50="","Missing Product ID","Present")</f>
        <v>Present</v>
      </c>
      <c r="H50" t="str">
        <f t="shared" si="0"/>
        <v>Unique</v>
      </c>
      <c r="I50" t="str">
        <f t="shared" si="1"/>
        <v>Valid</v>
      </c>
      <c r="J50" t="str">
        <f t="shared" si="2"/>
        <v>Valid</v>
      </c>
      <c r="K50" t="str">
        <f t="shared" si="3"/>
        <v>Valid</v>
      </c>
      <c r="L50" t="str">
        <f>IF(B50="","Missing Product ID",IF(COUNTIF(Product_Master!A:A,B50)&gt;0,"Found","Not Found"))</f>
        <v>Found</v>
      </c>
      <c r="M50" t="str">
        <f t="shared" si="4"/>
        <v>Valid Date</v>
      </c>
      <c r="N50" t="str">
        <f t="shared" si="5"/>
        <v>Good</v>
      </c>
    </row>
    <row r="51" spans="1:14" x14ac:dyDescent="0.45">
      <c r="A51" t="s">
        <v>263</v>
      </c>
      <c r="B51" t="s">
        <v>149</v>
      </c>
      <c r="C51" s="5">
        <v>46032</v>
      </c>
      <c r="D51">
        <v>200</v>
      </c>
      <c r="E51">
        <v>8</v>
      </c>
      <c r="F51">
        <v>100</v>
      </c>
      <c r="G51" t="str">
        <f>IF(B51="","Missing Product ID","Present")</f>
        <v>Present</v>
      </c>
      <c r="H51" t="str">
        <f t="shared" si="0"/>
        <v>Duplicate</v>
      </c>
      <c r="I51" t="str">
        <f t="shared" si="1"/>
        <v>Valid</v>
      </c>
      <c r="J51" t="str">
        <f t="shared" si="2"/>
        <v>Valid</v>
      </c>
      <c r="K51" t="str">
        <f t="shared" si="3"/>
        <v>Valid</v>
      </c>
      <c r="L51" t="str">
        <f>IF(B51="","Missing Product ID",IF(COUNTIF(Product_Master!A:A,B51)&gt;0,"Found","Not Found"))</f>
        <v>Found</v>
      </c>
      <c r="M51" t="str">
        <f t="shared" si="4"/>
        <v>Valid Date</v>
      </c>
      <c r="N51" t="str">
        <f t="shared" si="5"/>
        <v>Needs Review</v>
      </c>
    </row>
    <row r="52" spans="1:14" x14ac:dyDescent="0.45">
      <c r="A52" t="s">
        <v>263</v>
      </c>
      <c r="B52" t="s">
        <v>101</v>
      </c>
      <c r="C52" s="5">
        <v>46334</v>
      </c>
      <c r="D52">
        <v>100</v>
      </c>
      <c r="E52">
        <v>7</v>
      </c>
      <c r="F52">
        <v>100</v>
      </c>
      <c r="G52" t="str">
        <f>IF(B52="","Missing Product ID","Present")</f>
        <v>Present</v>
      </c>
      <c r="H52" t="str">
        <f t="shared" si="0"/>
        <v>Duplicate</v>
      </c>
      <c r="I52" t="str">
        <f t="shared" si="1"/>
        <v>Valid</v>
      </c>
      <c r="J52" t="str">
        <f t="shared" si="2"/>
        <v>Valid</v>
      </c>
      <c r="K52" t="str">
        <f t="shared" si="3"/>
        <v>Valid</v>
      </c>
      <c r="L52" t="str">
        <f>IF(B52="","Missing Product ID",IF(COUNTIF(Product_Master!A:A,B52)&gt;0,"Found","Not Found"))</f>
        <v>Found</v>
      </c>
      <c r="M52" t="str">
        <f t="shared" si="4"/>
        <v>Valid Date</v>
      </c>
      <c r="N52" t="str">
        <f t="shared" si="5"/>
        <v>Needs Review</v>
      </c>
    </row>
    <row r="53" spans="1:14" x14ac:dyDescent="0.45">
      <c r="A53" t="s">
        <v>264</v>
      </c>
      <c r="B53" t="s">
        <v>179</v>
      </c>
      <c r="C53" s="5">
        <v>46223</v>
      </c>
      <c r="D53">
        <v>150</v>
      </c>
      <c r="E53">
        <v>7</v>
      </c>
      <c r="F53">
        <v>250</v>
      </c>
      <c r="G53" t="str">
        <f>IF(B53="","Missing Product ID","Present")</f>
        <v>Present</v>
      </c>
      <c r="H53" t="str">
        <f t="shared" si="0"/>
        <v>Unique</v>
      </c>
      <c r="I53" t="str">
        <f t="shared" si="1"/>
        <v>Valid</v>
      </c>
      <c r="J53" t="str">
        <f t="shared" si="2"/>
        <v>Valid</v>
      </c>
      <c r="K53" t="str">
        <f t="shared" si="3"/>
        <v>Valid</v>
      </c>
      <c r="L53" t="str">
        <f>IF(B53="","Missing Product ID",IF(COUNTIF(Product_Master!A:A,B53)&gt;0,"Found","Not Found"))</f>
        <v>Found</v>
      </c>
      <c r="M53" t="str">
        <f t="shared" si="4"/>
        <v>Valid Date</v>
      </c>
      <c r="N53" t="str">
        <f t="shared" si="5"/>
        <v>Good</v>
      </c>
    </row>
    <row r="54" spans="1:14" x14ac:dyDescent="0.45">
      <c r="A54" t="s">
        <v>265</v>
      </c>
      <c r="B54" t="s">
        <v>199</v>
      </c>
      <c r="C54" s="5">
        <v>46095</v>
      </c>
      <c r="D54">
        <v>200</v>
      </c>
      <c r="E54">
        <v>5</v>
      </c>
      <c r="F54">
        <v>100</v>
      </c>
      <c r="G54" t="str">
        <f>IF(B54="","Missing Product ID","Present")</f>
        <v>Present</v>
      </c>
      <c r="H54" t="str">
        <f t="shared" si="0"/>
        <v>Unique</v>
      </c>
      <c r="I54" t="str">
        <f t="shared" si="1"/>
        <v>Valid</v>
      </c>
      <c r="J54" t="str">
        <f t="shared" si="2"/>
        <v>Valid</v>
      </c>
      <c r="K54" t="str">
        <f t="shared" si="3"/>
        <v>Valid</v>
      </c>
      <c r="L54" t="str">
        <f>IF(B54="","Missing Product ID",IF(COUNTIF(Product_Master!A:A,B54)&gt;0,"Found","Not Found"))</f>
        <v>Found</v>
      </c>
      <c r="M54" t="str">
        <f t="shared" si="4"/>
        <v>Valid Date</v>
      </c>
      <c r="N54" t="str">
        <f t="shared" si="5"/>
        <v>Good</v>
      </c>
    </row>
    <row r="55" spans="1:14" x14ac:dyDescent="0.45">
      <c r="A55" t="s">
        <v>266</v>
      </c>
      <c r="B55" t="s">
        <v>13</v>
      </c>
      <c r="C55" s="5">
        <v>46354</v>
      </c>
      <c r="D55">
        <v>200</v>
      </c>
      <c r="E55">
        <v>7</v>
      </c>
      <c r="F55">
        <v>200</v>
      </c>
      <c r="G55" t="str">
        <f>IF(B55="","Missing Product ID","Present")</f>
        <v>Present</v>
      </c>
      <c r="H55" t="str">
        <f t="shared" si="0"/>
        <v>Unique</v>
      </c>
      <c r="I55" t="str">
        <f t="shared" si="1"/>
        <v>Valid</v>
      </c>
      <c r="J55" t="str">
        <f t="shared" si="2"/>
        <v>Valid</v>
      </c>
      <c r="K55" t="str">
        <f t="shared" si="3"/>
        <v>Valid</v>
      </c>
      <c r="L55" t="str">
        <f>IF(B55="","Missing Product ID",IF(COUNTIF(Product_Master!A:A,B55)&gt;0,"Found","Not Found"))</f>
        <v>Found</v>
      </c>
      <c r="M55" t="str">
        <f t="shared" si="4"/>
        <v>Valid Date</v>
      </c>
      <c r="N55" t="str">
        <f t="shared" si="5"/>
        <v>Good</v>
      </c>
    </row>
    <row r="56" spans="1:14" x14ac:dyDescent="0.45">
      <c r="A56" t="s">
        <v>267</v>
      </c>
      <c r="B56" t="s">
        <v>197</v>
      </c>
      <c r="C56" s="5">
        <v>46360</v>
      </c>
      <c r="D56">
        <v>250</v>
      </c>
      <c r="E56">
        <v>6</v>
      </c>
      <c r="F56">
        <v>100</v>
      </c>
      <c r="G56" t="str">
        <f>IF(B56="","Missing Product ID","Present")</f>
        <v>Present</v>
      </c>
      <c r="H56" t="str">
        <f t="shared" si="0"/>
        <v>Unique</v>
      </c>
      <c r="I56" t="str">
        <f t="shared" si="1"/>
        <v>Valid</v>
      </c>
      <c r="J56" t="str">
        <f t="shared" si="2"/>
        <v>Valid</v>
      </c>
      <c r="K56" t="str">
        <f t="shared" si="3"/>
        <v>Valid</v>
      </c>
      <c r="L56" t="str">
        <f>IF(B56="","Missing Product ID",IF(COUNTIF(Product_Master!A:A,B56)&gt;0,"Found","Not Found"))</f>
        <v>Found</v>
      </c>
      <c r="M56" t="str">
        <f t="shared" si="4"/>
        <v>Valid Date</v>
      </c>
      <c r="N56" t="str">
        <f t="shared" si="5"/>
        <v>Good</v>
      </c>
    </row>
    <row r="57" spans="1:14" x14ac:dyDescent="0.45">
      <c r="A57" t="s">
        <v>268</v>
      </c>
      <c r="B57" t="s">
        <v>105</v>
      </c>
      <c r="C57" s="5">
        <v>46139</v>
      </c>
      <c r="D57">
        <v>100</v>
      </c>
      <c r="E57">
        <v>9</v>
      </c>
      <c r="F57">
        <v>100</v>
      </c>
      <c r="G57" t="str">
        <f>IF(B57="","Missing Product ID","Present")</f>
        <v>Present</v>
      </c>
      <c r="H57" t="str">
        <f t="shared" si="0"/>
        <v>Unique</v>
      </c>
      <c r="I57" t="str">
        <f t="shared" si="1"/>
        <v>Valid</v>
      </c>
      <c r="J57" t="str">
        <f t="shared" si="2"/>
        <v>Valid</v>
      </c>
      <c r="K57" t="str">
        <f t="shared" si="3"/>
        <v>Valid</v>
      </c>
      <c r="L57" t="str">
        <f>IF(B57="","Missing Product ID",IF(COUNTIF(Product_Master!A:A,B57)&gt;0,"Found","Not Found"))</f>
        <v>Found</v>
      </c>
      <c r="M57" t="str">
        <f t="shared" si="4"/>
        <v>Valid Date</v>
      </c>
      <c r="N57" t="str">
        <f t="shared" si="5"/>
        <v>Good</v>
      </c>
    </row>
    <row r="58" spans="1:14" x14ac:dyDescent="0.45">
      <c r="A58" t="s">
        <v>269</v>
      </c>
      <c r="B58" t="s">
        <v>125</v>
      </c>
      <c r="C58" s="5">
        <v>46113</v>
      </c>
      <c r="D58">
        <v>400</v>
      </c>
      <c r="E58">
        <v>6</v>
      </c>
      <c r="F58">
        <v>100</v>
      </c>
      <c r="G58" t="str">
        <f>IF(B58="","Missing Product ID","Present")</f>
        <v>Present</v>
      </c>
      <c r="H58" t="str">
        <f t="shared" si="0"/>
        <v>Unique</v>
      </c>
      <c r="I58" t="str">
        <f t="shared" si="1"/>
        <v>Valid</v>
      </c>
      <c r="J58" t="str">
        <f t="shared" si="2"/>
        <v>Valid</v>
      </c>
      <c r="K58" t="str">
        <f t="shared" si="3"/>
        <v>Valid</v>
      </c>
      <c r="L58" t="str">
        <f>IF(B58="","Missing Product ID",IF(COUNTIF(Product_Master!A:A,B58)&gt;0,"Found","Not Found"))</f>
        <v>Found</v>
      </c>
      <c r="M58" t="str">
        <f t="shared" si="4"/>
        <v>Valid Date</v>
      </c>
      <c r="N58" t="str">
        <f t="shared" si="5"/>
        <v>Good</v>
      </c>
    </row>
    <row r="59" spans="1:14" x14ac:dyDescent="0.45">
      <c r="A59" t="s">
        <v>270</v>
      </c>
      <c r="B59" t="s">
        <v>177</v>
      </c>
      <c r="C59" s="5">
        <v>46170</v>
      </c>
      <c r="D59">
        <v>250</v>
      </c>
      <c r="E59">
        <v>8</v>
      </c>
      <c r="F59">
        <v>150</v>
      </c>
      <c r="G59" t="str">
        <f>IF(B59="","Missing Product ID","Present")</f>
        <v>Present</v>
      </c>
      <c r="H59" t="str">
        <f t="shared" si="0"/>
        <v>Unique</v>
      </c>
      <c r="I59" t="str">
        <f t="shared" si="1"/>
        <v>Valid</v>
      </c>
      <c r="J59" t="str">
        <f t="shared" si="2"/>
        <v>Valid</v>
      </c>
      <c r="K59" t="str">
        <f t="shared" si="3"/>
        <v>Valid</v>
      </c>
      <c r="L59" t="str">
        <f>IF(B59="","Missing Product ID",IF(COUNTIF(Product_Master!A:A,B59)&gt;0,"Found","Not Found"))</f>
        <v>Found</v>
      </c>
      <c r="M59" t="str">
        <f t="shared" si="4"/>
        <v>Valid Date</v>
      </c>
      <c r="N59" t="str">
        <f t="shared" si="5"/>
        <v>Good</v>
      </c>
    </row>
    <row r="60" spans="1:14" x14ac:dyDescent="0.45">
      <c r="A60" t="s">
        <v>271</v>
      </c>
      <c r="B60" t="s">
        <v>25</v>
      </c>
      <c r="C60" s="5">
        <v>46225</v>
      </c>
      <c r="D60">
        <v>300</v>
      </c>
      <c r="E60">
        <v>7</v>
      </c>
      <c r="F60">
        <v>250</v>
      </c>
      <c r="G60" t="str">
        <f>IF(B60="","Missing Product ID","Present")</f>
        <v>Present</v>
      </c>
      <c r="H60" t="str">
        <f t="shared" si="0"/>
        <v>Unique</v>
      </c>
      <c r="I60" t="str">
        <f t="shared" si="1"/>
        <v>Valid</v>
      </c>
      <c r="J60" t="str">
        <f t="shared" si="2"/>
        <v>Valid</v>
      </c>
      <c r="K60" t="str">
        <f t="shared" si="3"/>
        <v>Valid</v>
      </c>
      <c r="L60" t="str">
        <f>IF(B60="","Missing Product ID",IF(COUNTIF(Product_Master!A:A,B60)&gt;0,"Found","Not Found"))</f>
        <v>Found</v>
      </c>
      <c r="M60" t="str">
        <f t="shared" si="4"/>
        <v>Valid Date</v>
      </c>
      <c r="N60" t="str">
        <f t="shared" si="5"/>
        <v>Good</v>
      </c>
    </row>
    <row r="61" spans="1:14" x14ac:dyDescent="0.45">
      <c r="A61" t="s">
        <v>272</v>
      </c>
      <c r="B61" t="s">
        <v>145</v>
      </c>
      <c r="C61" s="5">
        <v>46148</v>
      </c>
      <c r="D61">
        <v>400</v>
      </c>
      <c r="E61">
        <v>2</v>
      </c>
      <c r="F61">
        <v>50</v>
      </c>
      <c r="G61" t="str">
        <f>IF(B61="","Missing Product ID","Present")</f>
        <v>Present</v>
      </c>
      <c r="H61" t="str">
        <f t="shared" si="0"/>
        <v>Unique</v>
      </c>
      <c r="I61" t="str">
        <f t="shared" si="1"/>
        <v>Valid</v>
      </c>
      <c r="J61" t="str">
        <f t="shared" si="2"/>
        <v>Valid</v>
      </c>
      <c r="K61" t="str">
        <f t="shared" si="3"/>
        <v>Valid</v>
      </c>
      <c r="L61" t="str">
        <f>IF(B61="","Missing Product ID",IF(COUNTIF(Product_Master!A:A,B61)&gt;0,"Found","Not Found"))</f>
        <v>Found</v>
      </c>
      <c r="M61" t="str">
        <f t="shared" si="4"/>
        <v>Valid Date</v>
      </c>
      <c r="N61" t="str">
        <f t="shared" si="5"/>
        <v>Good</v>
      </c>
    </row>
    <row r="62" spans="1:14" x14ac:dyDescent="0.45">
      <c r="A62" t="s">
        <v>273</v>
      </c>
      <c r="B62" t="s">
        <v>157</v>
      </c>
      <c r="C62" s="5">
        <v>46309</v>
      </c>
      <c r="D62">
        <v>300</v>
      </c>
      <c r="E62">
        <v>2</v>
      </c>
      <c r="F62">
        <v>50</v>
      </c>
      <c r="G62" t="str">
        <f>IF(B62="","Missing Product ID","Present")</f>
        <v>Present</v>
      </c>
      <c r="H62" t="str">
        <f t="shared" si="0"/>
        <v>Unique</v>
      </c>
      <c r="I62" t="str">
        <f t="shared" si="1"/>
        <v>Valid</v>
      </c>
      <c r="J62" t="str">
        <f t="shared" si="2"/>
        <v>Valid</v>
      </c>
      <c r="K62" t="str">
        <f t="shared" si="3"/>
        <v>Valid</v>
      </c>
      <c r="L62" t="str">
        <f>IF(B62="","Missing Product ID",IF(COUNTIF(Product_Master!A:A,B62)&gt;0,"Found","Not Found"))</f>
        <v>Found</v>
      </c>
      <c r="M62" t="str">
        <f t="shared" si="4"/>
        <v>Valid Date</v>
      </c>
      <c r="N62" t="str">
        <f t="shared" si="5"/>
        <v>Good</v>
      </c>
    </row>
    <row r="63" spans="1:14" x14ac:dyDescent="0.45">
      <c r="A63" t="s">
        <v>274</v>
      </c>
      <c r="B63" t="s">
        <v>97</v>
      </c>
      <c r="C63" s="5">
        <v>46269</v>
      </c>
      <c r="D63">
        <v>400</v>
      </c>
      <c r="E63">
        <v>8</v>
      </c>
      <c r="F63">
        <v>250</v>
      </c>
      <c r="G63" t="str">
        <f>IF(B63="","Missing Product ID","Present")</f>
        <v>Present</v>
      </c>
      <c r="H63" t="str">
        <f t="shared" si="0"/>
        <v>Unique</v>
      </c>
      <c r="I63" t="str">
        <f t="shared" si="1"/>
        <v>Valid</v>
      </c>
      <c r="J63" t="str">
        <f t="shared" si="2"/>
        <v>Valid</v>
      </c>
      <c r="K63" t="str">
        <f t="shared" si="3"/>
        <v>Valid</v>
      </c>
      <c r="L63" t="str">
        <f>IF(B63="","Missing Product ID",IF(COUNTIF(Product_Master!A:A,B63)&gt;0,"Found","Not Found"))</f>
        <v>Found</v>
      </c>
      <c r="M63" t="str">
        <f t="shared" si="4"/>
        <v>Valid Date</v>
      </c>
      <c r="N63" t="str">
        <f t="shared" si="5"/>
        <v>Good</v>
      </c>
    </row>
    <row r="64" spans="1:14" x14ac:dyDescent="0.45">
      <c r="A64" t="s">
        <v>275</v>
      </c>
      <c r="B64" t="s">
        <v>107</v>
      </c>
      <c r="C64" s="5">
        <v>46370</v>
      </c>
      <c r="D64">
        <v>250</v>
      </c>
      <c r="E64">
        <v>6</v>
      </c>
      <c r="F64">
        <v>50</v>
      </c>
      <c r="G64" t="str">
        <f>IF(B64="","Missing Product ID","Present")</f>
        <v>Present</v>
      </c>
      <c r="H64" t="str">
        <f t="shared" si="0"/>
        <v>Unique</v>
      </c>
      <c r="I64" t="str">
        <f t="shared" si="1"/>
        <v>Valid</v>
      </c>
      <c r="J64" t="str">
        <f t="shared" si="2"/>
        <v>Valid</v>
      </c>
      <c r="K64" t="str">
        <f t="shared" si="3"/>
        <v>Valid</v>
      </c>
      <c r="L64" t="str">
        <f>IF(B64="","Missing Product ID",IF(COUNTIF(Product_Master!A:A,B64)&gt;0,"Found","Not Found"))</f>
        <v>Found</v>
      </c>
      <c r="M64" t="str">
        <f t="shared" si="4"/>
        <v>Valid Date</v>
      </c>
      <c r="N64" t="str">
        <f t="shared" si="5"/>
        <v>Good</v>
      </c>
    </row>
    <row r="65" spans="1:14" x14ac:dyDescent="0.45">
      <c r="A65" t="s">
        <v>276</v>
      </c>
      <c r="B65" t="s">
        <v>4</v>
      </c>
      <c r="C65" s="5">
        <v>46187</v>
      </c>
      <c r="D65">
        <v>1000</v>
      </c>
      <c r="E65">
        <v>10</v>
      </c>
      <c r="F65">
        <v>100</v>
      </c>
      <c r="G65" t="str">
        <f>IF(B65="","Missing Product ID","Present")</f>
        <v>Present</v>
      </c>
      <c r="H65" t="str">
        <f t="shared" si="0"/>
        <v>Unique</v>
      </c>
      <c r="I65" t="str">
        <f t="shared" si="1"/>
        <v>Valid</v>
      </c>
      <c r="J65" t="str">
        <f t="shared" si="2"/>
        <v>Valid</v>
      </c>
      <c r="K65" t="str">
        <f t="shared" si="3"/>
        <v>Valid</v>
      </c>
      <c r="L65" t="str">
        <f>IF(B65="","Missing Product ID",IF(COUNTIF(Product_Master!A:A,B65)&gt;0,"Found","Not Found"))</f>
        <v>Found</v>
      </c>
      <c r="M65" t="str">
        <f t="shared" si="4"/>
        <v>Valid Date</v>
      </c>
      <c r="N65" t="str">
        <f t="shared" si="5"/>
        <v>Good</v>
      </c>
    </row>
    <row r="66" spans="1:14" x14ac:dyDescent="0.45">
      <c r="A66" t="s">
        <v>277</v>
      </c>
      <c r="B66" t="s">
        <v>25</v>
      </c>
      <c r="C66" s="5">
        <v>46366</v>
      </c>
      <c r="D66">
        <v>400</v>
      </c>
      <c r="E66">
        <v>7</v>
      </c>
      <c r="F66">
        <v>50</v>
      </c>
      <c r="G66" t="str">
        <f>IF(B66="","Missing Product ID","Present")</f>
        <v>Present</v>
      </c>
      <c r="H66" t="str">
        <f t="shared" si="0"/>
        <v>Unique</v>
      </c>
      <c r="I66" t="str">
        <f t="shared" si="1"/>
        <v>Valid</v>
      </c>
      <c r="J66" t="str">
        <f t="shared" si="2"/>
        <v>Valid</v>
      </c>
      <c r="K66" t="str">
        <f t="shared" si="3"/>
        <v>Valid</v>
      </c>
      <c r="L66" t="str">
        <f>IF(B66="","Missing Product ID",IF(COUNTIF(Product_Master!A:A,B66)&gt;0,"Found","Not Found"))</f>
        <v>Found</v>
      </c>
      <c r="M66" t="str">
        <f t="shared" si="4"/>
        <v>Valid Date</v>
      </c>
      <c r="N66" t="str">
        <f t="shared" si="5"/>
        <v>Good</v>
      </c>
    </row>
    <row r="67" spans="1:14" x14ac:dyDescent="0.45">
      <c r="A67" t="s">
        <v>278</v>
      </c>
      <c r="B67" t="s">
        <v>137</v>
      </c>
      <c r="C67" s="5">
        <v>46226</v>
      </c>
      <c r="D67">
        <v>300</v>
      </c>
      <c r="E67">
        <v>8</v>
      </c>
      <c r="F67">
        <v>150</v>
      </c>
      <c r="G67" t="str">
        <f>IF(B67="","Missing Product ID","Present")</f>
        <v>Present</v>
      </c>
      <c r="H67" t="str">
        <f t="shared" ref="H67:H130" si="6">IF(COUNTIF(A:A,A67)&gt;1,"Duplicate","Unique")</f>
        <v>Unique</v>
      </c>
      <c r="I67" t="str">
        <f t="shared" ref="I67:I130" si="7">IF(D67="","Missing",IF(D67&lt;=0,"Invalid Quantity","Valid"))</f>
        <v>Valid</v>
      </c>
      <c r="J67" t="str">
        <f t="shared" ref="J67:J130" si="8">IF(E67="","Missing",IF(E67&lt;=0,"Invalid Lead Time","Valid"))</f>
        <v>Valid</v>
      </c>
      <c r="K67" t="str">
        <f t="shared" ref="K67:K130" si="9">IF(F67="","Missing",IF(F67&lt;=0,"Invalid","Valid"))</f>
        <v>Valid</v>
      </c>
      <c r="L67" t="str">
        <f>IF(B67="","Missing Product ID",IF(COUNTIF(Product_Master!A:A,B67)&gt;0,"Found","Not Found"))</f>
        <v>Found</v>
      </c>
      <c r="M67" t="str">
        <f t="shared" ref="M67:M130" si="10">IF(C67="","Missing Date",IF(ISNUMBER(C67),"Valid Date","Invalid Date"))</f>
        <v>Valid Date</v>
      </c>
      <c r="N67" t="str">
        <f t="shared" ref="N67:N130" si="11">IF(OR(H67="Duplicate",I67&lt;&gt;"Valid",J67&lt;&gt;"Valid",K67&lt;&gt;"Valid",L67&lt;&gt;"Found",M67&lt;&gt;"Valid Date"),"Needs Review","Good")</f>
        <v>Good</v>
      </c>
    </row>
    <row r="68" spans="1:14" x14ac:dyDescent="0.45">
      <c r="A68" t="s">
        <v>279</v>
      </c>
      <c r="B68" t="s">
        <v>83</v>
      </c>
      <c r="C68" s="5">
        <v>46225</v>
      </c>
      <c r="D68">
        <v>1000</v>
      </c>
      <c r="E68">
        <v>4</v>
      </c>
      <c r="F68">
        <v>100</v>
      </c>
      <c r="G68" t="str">
        <f>IF(B68="","Missing Product ID","Present")</f>
        <v>Present</v>
      </c>
      <c r="H68" t="str">
        <f t="shared" si="6"/>
        <v>Unique</v>
      </c>
      <c r="I68" t="str">
        <f t="shared" si="7"/>
        <v>Valid</v>
      </c>
      <c r="J68" t="str">
        <f t="shared" si="8"/>
        <v>Valid</v>
      </c>
      <c r="K68" t="str">
        <f t="shared" si="9"/>
        <v>Valid</v>
      </c>
      <c r="L68" t="str">
        <f>IF(B68="","Missing Product ID",IF(COUNTIF(Product_Master!A:A,B68)&gt;0,"Found","Not Found"))</f>
        <v>Found</v>
      </c>
      <c r="M68" t="str">
        <f t="shared" si="10"/>
        <v>Valid Date</v>
      </c>
      <c r="N68" t="str">
        <f t="shared" si="11"/>
        <v>Good</v>
      </c>
    </row>
    <row r="69" spans="1:14" x14ac:dyDescent="0.45">
      <c r="A69" t="s">
        <v>280</v>
      </c>
      <c r="B69" t="s">
        <v>105</v>
      </c>
      <c r="C69" s="5">
        <v>46292</v>
      </c>
      <c r="E69">
        <v>6</v>
      </c>
      <c r="F69">
        <v>200</v>
      </c>
      <c r="G69" t="str">
        <f>IF(B69="","Missing Product ID","Present")</f>
        <v>Present</v>
      </c>
      <c r="H69" t="str">
        <f t="shared" si="6"/>
        <v>Unique</v>
      </c>
      <c r="I69" t="str">
        <f t="shared" si="7"/>
        <v>Missing</v>
      </c>
      <c r="J69" t="str">
        <f t="shared" si="8"/>
        <v>Valid</v>
      </c>
      <c r="K69" t="str">
        <f t="shared" si="9"/>
        <v>Valid</v>
      </c>
      <c r="L69" t="str">
        <f>IF(B69="","Missing Product ID",IF(COUNTIF(Product_Master!A:A,B69)&gt;0,"Found","Not Found"))</f>
        <v>Found</v>
      </c>
      <c r="M69" t="str">
        <f t="shared" si="10"/>
        <v>Valid Date</v>
      </c>
      <c r="N69" t="str">
        <f t="shared" si="11"/>
        <v>Needs Review</v>
      </c>
    </row>
    <row r="70" spans="1:14" x14ac:dyDescent="0.45">
      <c r="A70" t="s">
        <v>281</v>
      </c>
      <c r="B70" t="s">
        <v>4</v>
      </c>
      <c r="C70" s="5">
        <v>46229</v>
      </c>
      <c r="D70">
        <v>300</v>
      </c>
      <c r="E70">
        <v>6</v>
      </c>
      <c r="F70">
        <v>100</v>
      </c>
      <c r="G70" t="str">
        <f>IF(B70="","Missing Product ID","Present")</f>
        <v>Present</v>
      </c>
      <c r="H70" t="str">
        <f t="shared" si="6"/>
        <v>Unique</v>
      </c>
      <c r="I70" t="str">
        <f t="shared" si="7"/>
        <v>Valid</v>
      </c>
      <c r="J70" t="str">
        <f t="shared" si="8"/>
        <v>Valid</v>
      </c>
      <c r="K70" t="str">
        <f t="shared" si="9"/>
        <v>Valid</v>
      </c>
      <c r="L70" t="str">
        <f>IF(B70="","Missing Product ID",IF(COUNTIF(Product_Master!A:A,B70)&gt;0,"Found","Not Found"))</f>
        <v>Found</v>
      </c>
      <c r="M70" t="str">
        <f t="shared" si="10"/>
        <v>Valid Date</v>
      </c>
      <c r="N70" t="str">
        <f t="shared" si="11"/>
        <v>Good</v>
      </c>
    </row>
    <row r="71" spans="1:14" x14ac:dyDescent="0.45">
      <c r="A71" t="s">
        <v>282</v>
      </c>
      <c r="B71" t="s">
        <v>157</v>
      </c>
      <c r="C71" s="5">
        <v>46256</v>
      </c>
      <c r="D71">
        <v>400</v>
      </c>
      <c r="E71">
        <v>9</v>
      </c>
      <c r="F71">
        <v>200</v>
      </c>
      <c r="G71" t="str">
        <f>IF(B71="","Missing Product ID","Present")</f>
        <v>Present</v>
      </c>
      <c r="H71" t="str">
        <f t="shared" si="6"/>
        <v>Unique</v>
      </c>
      <c r="I71" t="str">
        <f t="shared" si="7"/>
        <v>Valid</v>
      </c>
      <c r="J71" t="str">
        <f t="shared" si="8"/>
        <v>Valid</v>
      </c>
      <c r="K71" t="str">
        <f t="shared" si="9"/>
        <v>Valid</v>
      </c>
      <c r="L71" t="str">
        <f>IF(B71="","Missing Product ID",IF(COUNTIF(Product_Master!A:A,B71)&gt;0,"Found","Not Found"))</f>
        <v>Found</v>
      </c>
      <c r="M71" t="str">
        <f t="shared" si="10"/>
        <v>Valid Date</v>
      </c>
      <c r="N71" t="str">
        <f t="shared" si="11"/>
        <v>Good</v>
      </c>
    </row>
    <row r="72" spans="1:14" x14ac:dyDescent="0.45">
      <c r="A72" t="s">
        <v>283</v>
      </c>
      <c r="B72" t="s">
        <v>63</v>
      </c>
      <c r="C72" s="5">
        <v>46329</v>
      </c>
      <c r="D72">
        <v>1000</v>
      </c>
      <c r="E72">
        <v>9</v>
      </c>
      <c r="F72">
        <v>100</v>
      </c>
      <c r="G72" t="str">
        <f>IF(B72="","Missing Product ID","Present")</f>
        <v>Present</v>
      </c>
      <c r="H72" t="str">
        <f t="shared" si="6"/>
        <v>Unique</v>
      </c>
      <c r="I72" t="str">
        <f t="shared" si="7"/>
        <v>Valid</v>
      </c>
      <c r="J72" t="str">
        <f t="shared" si="8"/>
        <v>Valid</v>
      </c>
      <c r="K72" t="str">
        <f t="shared" si="9"/>
        <v>Valid</v>
      </c>
      <c r="L72" t="str">
        <f>IF(B72="","Missing Product ID",IF(COUNTIF(Product_Master!A:A,B72)&gt;0,"Found","Not Found"))</f>
        <v>Found</v>
      </c>
      <c r="M72" t="str">
        <f t="shared" si="10"/>
        <v>Valid Date</v>
      </c>
      <c r="N72" t="str">
        <f t="shared" si="11"/>
        <v>Good</v>
      </c>
    </row>
    <row r="73" spans="1:14" x14ac:dyDescent="0.45">
      <c r="A73" t="s">
        <v>284</v>
      </c>
      <c r="B73" t="s">
        <v>81</v>
      </c>
      <c r="C73" s="5">
        <v>46134</v>
      </c>
      <c r="D73">
        <v>1000</v>
      </c>
      <c r="E73">
        <v>7</v>
      </c>
      <c r="F73">
        <v>50</v>
      </c>
      <c r="G73" t="str">
        <f>IF(B73="","Missing Product ID","Present")</f>
        <v>Present</v>
      </c>
      <c r="H73" t="str">
        <f t="shared" si="6"/>
        <v>Unique</v>
      </c>
      <c r="I73" t="str">
        <f t="shared" si="7"/>
        <v>Valid</v>
      </c>
      <c r="J73" t="str">
        <f t="shared" si="8"/>
        <v>Valid</v>
      </c>
      <c r="K73" t="str">
        <f t="shared" si="9"/>
        <v>Valid</v>
      </c>
      <c r="L73" t="str">
        <f>IF(B73="","Missing Product ID",IF(COUNTIF(Product_Master!A:A,B73)&gt;0,"Found","Not Found"))</f>
        <v>Found</v>
      </c>
      <c r="M73" t="str">
        <f t="shared" si="10"/>
        <v>Valid Date</v>
      </c>
      <c r="N73" t="str">
        <f t="shared" si="11"/>
        <v>Good</v>
      </c>
    </row>
    <row r="74" spans="1:14" x14ac:dyDescent="0.45">
      <c r="A74" t="s">
        <v>285</v>
      </c>
      <c r="B74" t="s">
        <v>87</v>
      </c>
      <c r="C74" s="5">
        <v>46024</v>
      </c>
      <c r="D74">
        <v>250</v>
      </c>
      <c r="E74">
        <v>5</v>
      </c>
      <c r="F74">
        <v>100</v>
      </c>
      <c r="G74" t="str">
        <f>IF(B74="","Missing Product ID","Present")</f>
        <v>Present</v>
      </c>
      <c r="H74" t="str">
        <f t="shared" si="6"/>
        <v>Unique</v>
      </c>
      <c r="I74" t="str">
        <f t="shared" si="7"/>
        <v>Valid</v>
      </c>
      <c r="J74" t="str">
        <f t="shared" si="8"/>
        <v>Valid</v>
      </c>
      <c r="K74" t="str">
        <f t="shared" si="9"/>
        <v>Valid</v>
      </c>
      <c r="L74" t="str">
        <f>IF(B74="","Missing Product ID",IF(COUNTIF(Product_Master!A:A,B74)&gt;0,"Found","Not Found"))</f>
        <v>Found</v>
      </c>
      <c r="M74" t="str">
        <f t="shared" si="10"/>
        <v>Valid Date</v>
      </c>
      <c r="N74" t="str">
        <f t="shared" si="11"/>
        <v>Good</v>
      </c>
    </row>
    <row r="75" spans="1:14" x14ac:dyDescent="0.45">
      <c r="A75" t="s">
        <v>286</v>
      </c>
      <c r="B75" t="s">
        <v>71</v>
      </c>
      <c r="C75" s="5">
        <v>46224</v>
      </c>
      <c r="D75">
        <v>750</v>
      </c>
      <c r="E75">
        <v>3</v>
      </c>
      <c r="F75">
        <v>200</v>
      </c>
      <c r="G75" t="str">
        <f>IF(B75="","Missing Product ID","Present")</f>
        <v>Present</v>
      </c>
      <c r="H75" t="str">
        <f t="shared" si="6"/>
        <v>Unique</v>
      </c>
      <c r="I75" t="str">
        <f t="shared" si="7"/>
        <v>Valid</v>
      </c>
      <c r="J75" t="str">
        <f t="shared" si="8"/>
        <v>Valid</v>
      </c>
      <c r="K75" t="str">
        <f t="shared" si="9"/>
        <v>Valid</v>
      </c>
      <c r="L75" t="str">
        <f>IF(B75="","Missing Product ID",IF(COUNTIF(Product_Master!A:A,B75)&gt;0,"Found","Not Found"))</f>
        <v>Found</v>
      </c>
      <c r="M75" t="str">
        <f t="shared" si="10"/>
        <v>Valid Date</v>
      </c>
      <c r="N75" t="str">
        <f t="shared" si="11"/>
        <v>Good</v>
      </c>
    </row>
    <row r="76" spans="1:14" x14ac:dyDescent="0.45">
      <c r="A76" t="s">
        <v>287</v>
      </c>
      <c r="B76" t="s">
        <v>155</v>
      </c>
      <c r="C76" s="5">
        <v>46211</v>
      </c>
      <c r="D76">
        <v>250</v>
      </c>
      <c r="E76">
        <v>8</v>
      </c>
      <c r="F76">
        <v>200</v>
      </c>
      <c r="G76" t="str">
        <f>IF(B76="","Missing Product ID","Present")</f>
        <v>Present</v>
      </c>
      <c r="H76" t="str">
        <f t="shared" si="6"/>
        <v>Unique</v>
      </c>
      <c r="I76" t="str">
        <f t="shared" si="7"/>
        <v>Valid</v>
      </c>
      <c r="J76" t="str">
        <f t="shared" si="8"/>
        <v>Valid</v>
      </c>
      <c r="K76" t="str">
        <f t="shared" si="9"/>
        <v>Valid</v>
      </c>
      <c r="L76" t="str">
        <f>IF(B76="","Missing Product ID",IF(COUNTIF(Product_Master!A:A,B76)&gt;0,"Found","Not Found"))</f>
        <v>Found</v>
      </c>
      <c r="M76" t="str">
        <f t="shared" si="10"/>
        <v>Valid Date</v>
      </c>
      <c r="N76" t="str">
        <f t="shared" si="11"/>
        <v>Good</v>
      </c>
    </row>
    <row r="77" spans="1:14" x14ac:dyDescent="0.45">
      <c r="A77" t="s">
        <v>288</v>
      </c>
      <c r="B77" t="s">
        <v>45</v>
      </c>
      <c r="C77" s="5">
        <v>46118</v>
      </c>
      <c r="D77">
        <v>100</v>
      </c>
      <c r="E77">
        <v>3</v>
      </c>
      <c r="F77">
        <v>200</v>
      </c>
      <c r="G77" t="str">
        <f>IF(B77="","Missing Product ID","Present")</f>
        <v>Present</v>
      </c>
      <c r="H77" t="str">
        <f t="shared" si="6"/>
        <v>Unique</v>
      </c>
      <c r="I77" t="str">
        <f t="shared" si="7"/>
        <v>Valid</v>
      </c>
      <c r="J77" t="str">
        <f t="shared" si="8"/>
        <v>Valid</v>
      </c>
      <c r="K77" t="str">
        <f t="shared" si="9"/>
        <v>Valid</v>
      </c>
      <c r="L77" t="str">
        <f>IF(B77="","Missing Product ID",IF(COUNTIF(Product_Master!A:A,B77)&gt;0,"Found","Not Found"))</f>
        <v>Found</v>
      </c>
      <c r="M77" t="str">
        <f t="shared" si="10"/>
        <v>Valid Date</v>
      </c>
      <c r="N77" t="str">
        <f t="shared" si="11"/>
        <v>Good</v>
      </c>
    </row>
    <row r="78" spans="1:14" x14ac:dyDescent="0.45">
      <c r="A78" t="s">
        <v>289</v>
      </c>
      <c r="B78" t="s">
        <v>187</v>
      </c>
      <c r="C78" s="5">
        <v>46273</v>
      </c>
      <c r="D78">
        <v>1000</v>
      </c>
      <c r="E78">
        <v>9</v>
      </c>
      <c r="F78">
        <v>50</v>
      </c>
      <c r="G78" t="str">
        <f>IF(B78="","Missing Product ID","Present")</f>
        <v>Present</v>
      </c>
      <c r="H78" t="str">
        <f t="shared" si="6"/>
        <v>Unique</v>
      </c>
      <c r="I78" t="str">
        <f t="shared" si="7"/>
        <v>Valid</v>
      </c>
      <c r="J78" t="str">
        <f t="shared" si="8"/>
        <v>Valid</v>
      </c>
      <c r="K78" t="str">
        <f t="shared" si="9"/>
        <v>Valid</v>
      </c>
      <c r="L78" t="str">
        <f>IF(B78="","Missing Product ID",IF(COUNTIF(Product_Master!A:A,B78)&gt;0,"Found","Not Found"))</f>
        <v>Found</v>
      </c>
      <c r="M78" t="str">
        <f t="shared" si="10"/>
        <v>Valid Date</v>
      </c>
      <c r="N78" t="str">
        <f t="shared" si="11"/>
        <v>Good</v>
      </c>
    </row>
    <row r="79" spans="1:14" x14ac:dyDescent="0.45">
      <c r="A79" t="s">
        <v>290</v>
      </c>
      <c r="B79" t="s">
        <v>39</v>
      </c>
      <c r="C79" s="5">
        <v>46343</v>
      </c>
      <c r="D79">
        <v>750</v>
      </c>
      <c r="E79">
        <v>4</v>
      </c>
      <c r="F79">
        <v>200</v>
      </c>
      <c r="G79" t="str">
        <f>IF(B79="","Missing Product ID","Present")</f>
        <v>Present</v>
      </c>
      <c r="H79" t="str">
        <f t="shared" si="6"/>
        <v>Unique</v>
      </c>
      <c r="I79" t="str">
        <f t="shared" si="7"/>
        <v>Valid</v>
      </c>
      <c r="J79" t="str">
        <f t="shared" si="8"/>
        <v>Valid</v>
      </c>
      <c r="K79" t="str">
        <f t="shared" si="9"/>
        <v>Valid</v>
      </c>
      <c r="L79" t="str">
        <f>IF(B79="","Missing Product ID",IF(COUNTIF(Product_Master!A:A,B79)&gt;0,"Found","Not Found"))</f>
        <v>Found</v>
      </c>
      <c r="M79" t="str">
        <f t="shared" si="10"/>
        <v>Valid Date</v>
      </c>
      <c r="N79" t="str">
        <f t="shared" si="11"/>
        <v>Good</v>
      </c>
    </row>
    <row r="80" spans="1:14" x14ac:dyDescent="0.45">
      <c r="A80" t="s">
        <v>291</v>
      </c>
      <c r="B80" t="s">
        <v>151</v>
      </c>
      <c r="C80" s="5">
        <v>46373</v>
      </c>
      <c r="D80">
        <v>400</v>
      </c>
      <c r="E80">
        <v>9</v>
      </c>
      <c r="F80">
        <v>250</v>
      </c>
      <c r="G80" t="str">
        <f>IF(B80="","Missing Product ID","Present")</f>
        <v>Present</v>
      </c>
      <c r="H80" t="str">
        <f t="shared" si="6"/>
        <v>Unique</v>
      </c>
      <c r="I80" t="str">
        <f t="shared" si="7"/>
        <v>Valid</v>
      </c>
      <c r="J80" t="str">
        <f t="shared" si="8"/>
        <v>Valid</v>
      </c>
      <c r="K80" t="str">
        <f t="shared" si="9"/>
        <v>Valid</v>
      </c>
      <c r="L80" t="str">
        <f>IF(B80="","Missing Product ID",IF(COUNTIF(Product_Master!A:A,B80)&gt;0,"Found","Not Found"))</f>
        <v>Found</v>
      </c>
      <c r="M80" t="str">
        <f t="shared" si="10"/>
        <v>Valid Date</v>
      </c>
      <c r="N80" t="str">
        <f t="shared" si="11"/>
        <v>Good</v>
      </c>
    </row>
    <row r="81" spans="1:14" x14ac:dyDescent="0.45">
      <c r="A81" t="s">
        <v>292</v>
      </c>
      <c r="B81" t="s">
        <v>117</v>
      </c>
      <c r="C81" s="5">
        <v>46384</v>
      </c>
      <c r="D81">
        <v>1000</v>
      </c>
      <c r="E81">
        <v>9</v>
      </c>
      <c r="F81">
        <v>100</v>
      </c>
      <c r="G81" t="str">
        <f>IF(B81="","Missing Product ID","Present")</f>
        <v>Present</v>
      </c>
      <c r="H81" t="str">
        <f t="shared" si="6"/>
        <v>Unique</v>
      </c>
      <c r="I81" t="str">
        <f t="shared" si="7"/>
        <v>Valid</v>
      </c>
      <c r="J81" t="str">
        <f t="shared" si="8"/>
        <v>Valid</v>
      </c>
      <c r="K81" t="str">
        <f t="shared" si="9"/>
        <v>Valid</v>
      </c>
      <c r="L81" t="str">
        <f>IF(B81="","Missing Product ID",IF(COUNTIF(Product_Master!A:A,B81)&gt;0,"Found","Not Found"))</f>
        <v>Found</v>
      </c>
      <c r="M81" t="str">
        <f t="shared" si="10"/>
        <v>Valid Date</v>
      </c>
      <c r="N81" t="str">
        <f t="shared" si="11"/>
        <v>Good</v>
      </c>
    </row>
    <row r="82" spans="1:14" x14ac:dyDescent="0.45">
      <c r="A82" t="s">
        <v>293</v>
      </c>
      <c r="B82" t="s">
        <v>129</v>
      </c>
      <c r="C82" s="5">
        <v>46335</v>
      </c>
      <c r="D82">
        <v>750</v>
      </c>
      <c r="E82">
        <v>6</v>
      </c>
      <c r="F82">
        <v>100</v>
      </c>
      <c r="G82" t="str">
        <f>IF(B82="","Missing Product ID","Present")</f>
        <v>Present</v>
      </c>
      <c r="H82" t="str">
        <f t="shared" si="6"/>
        <v>Unique</v>
      </c>
      <c r="I82" t="str">
        <f t="shared" si="7"/>
        <v>Valid</v>
      </c>
      <c r="J82" t="str">
        <f t="shared" si="8"/>
        <v>Valid</v>
      </c>
      <c r="K82" t="str">
        <f t="shared" si="9"/>
        <v>Valid</v>
      </c>
      <c r="L82" t="str">
        <f>IF(B82="","Missing Product ID",IF(COUNTIF(Product_Master!A:A,B82)&gt;0,"Found","Not Found"))</f>
        <v>Found</v>
      </c>
      <c r="M82" t="str">
        <f t="shared" si="10"/>
        <v>Valid Date</v>
      </c>
      <c r="N82" t="str">
        <f t="shared" si="11"/>
        <v>Good</v>
      </c>
    </row>
    <row r="83" spans="1:14" x14ac:dyDescent="0.45">
      <c r="A83" t="s">
        <v>294</v>
      </c>
      <c r="B83" t="s">
        <v>205</v>
      </c>
      <c r="C83" s="5">
        <v>46157</v>
      </c>
      <c r="D83">
        <v>1000</v>
      </c>
      <c r="E83">
        <v>9</v>
      </c>
      <c r="F83">
        <v>100</v>
      </c>
      <c r="G83" t="str">
        <f>IF(B83="","Missing Product ID","Present")</f>
        <v>Present</v>
      </c>
      <c r="H83" t="str">
        <f t="shared" si="6"/>
        <v>Unique</v>
      </c>
      <c r="I83" t="str">
        <f t="shared" si="7"/>
        <v>Valid</v>
      </c>
      <c r="J83" t="str">
        <f t="shared" si="8"/>
        <v>Valid</v>
      </c>
      <c r="K83" t="str">
        <f t="shared" si="9"/>
        <v>Valid</v>
      </c>
      <c r="L83" t="str">
        <f>IF(B83="","Missing Product ID",IF(COUNTIF(Product_Master!A:A,B83)&gt;0,"Found","Not Found"))</f>
        <v>Found</v>
      </c>
      <c r="M83" t="str">
        <f t="shared" si="10"/>
        <v>Valid Date</v>
      </c>
      <c r="N83" t="str">
        <f t="shared" si="11"/>
        <v>Good</v>
      </c>
    </row>
    <row r="84" spans="1:14" x14ac:dyDescent="0.45">
      <c r="A84" t="s">
        <v>295</v>
      </c>
      <c r="B84" t="s">
        <v>27</v>
      </c>
      <c r="C84" s="5">
        <v>46184</v>
      </c>
      <c r="D84">
        <v>300</v>
      </c>
      <c r="E84">
        <v>5</v>
      </c>
      <c r="F84">
        <v>150</v>
      </c>
      <c r="G84" t="str">
        <f>IF(B84="","Missing Product ID","Present")</f>
        <v>Present</v>
      </c>
      <c r="H84" t="str">
        <f t="shared" si="6"/>
        <v>Unique</v>
      </c>
      <c r="I84" t="str">
        <f t="shared" si="7"/>
        <v>Valid</v>
      </c>
      <c r="J84" t="str">
        <f t="shared" si="8"/>
        <v>Valid</v>
      </c>
      <c r="K84" t="str">
        <f t="shared" si="9"/>
        <v>Valid</v>
      </c>
      <c r="L84" t="str">
        <f>IF(B84="","Missing Product ID",IF(COUNTIF(Product_Master!A:A,B84)&gt;0,"Found","Not Found"))</f>
        <v>Found</v>
      </c>
      <c r="M84" t="str">
        <f t="shared" si="10"/>
        <v>Valid Date</v>
      </c>
      <c r="N84" t="str">
        <f t="shared" si="11"/>
        <v>Good</v>
      </c>
    </row>
    <row r="85" spans="1:14" x14ac:dyDescent="0.45">
      <c r="A85" t="s">
        <v>296</v>
      </c>
      <c r="B85" t="s">
        <v>147</v>
      </c>
      <c r="C85" s="5">
        <v>46125</v>
      </c>
      <c r="D85">
        <v>150</v>
      </c>
      <c r="E85">
        <v>4</v>
      </c>
      <c r="F85">
        <v>100</v>
      </c>
      <c r="G85" t="str">
        <f>IF(B85="","Missing Product ID","Present")</f>
        <v>Present</v>
      </c>
      <c r="H85" t="str">
        <f t="shared" si="6"/>
        <v>Unique</v>
      </c>
      <c r="I85" t="str">
        <f t="shared" si="7"/>
        <v>Valid</v>
      </c>
      <c r="J85" t="str">
        <f t="shared" si="8"/>
        <v>Valid</v>
      </c>
      <c r="K85" t="str">
        <f t="shared" si="9"/>
        <v>Valid</v>
      </c>
      <c r="L85" t="str">
        <f>IF(B85="","Missing Product ID",IF(COUNTIF(Product_Master!A:A,B85)&gt;0,"Found","Not Found"))</f>
        <v>Found</v>
      </c>
      <c r="M85" t="str">
        <f t="shared" si="10"/>
        <v>Valid Date</v>
      </c>
      <c r="N85" t="str">
        <f t="shared" si="11"/>
        <v>Good</v>
      </c>
    </row>
    <row r="86" spans="1:14" x14ac:dyDescent="0.45">
      <c r="A86" t="s">
        <v>297</v>
      </c>
      <c r="B86" t="s">
        <v>185</v>
      </c>
      <c r="C86" s="5">
        <v>46217</v>
      </c>
      <c r="D86">
        <v>200</v>
      </c>
      <c r="E86">
        <v>5</v>
      </c>
      <c r="F86">
        <v>50</v>
      </c>
      <c r="G86" t="str">
        <f>IF(B86="","Missing Product ID","Present")</f>
        <v>Present</v>
      </c>
      <c r="H86" t="str">
        <f t="shared" si="6"/>
        <v>Unique</v>
      </c>
      <c r="I86" t="str">
        <f t="shared" si="7"/>
        <v>Valid</v>
      </c>
      <c r="J86" t="str">
        <f t="shared" si="8"/>
        <v>Valid</v>
      </c>
      <c r="K86" t="str">
        <f t="shared" si="9"/>
        <v>Valid</v>
      </c>
      <c r="L86" t="str">
        <f>IF(B86="","Missing Product ID",IF(COUNTIF(Product_Master!A:A,B86)&gt;0,"Found","Not Found"))</f>
        <v>Found</v>
      </c>
      <c r="M86" t="str">
        <f t="shared" si="10"/>
        <v>Valid Date</v>
      </c>
      <c r="N86" t="str">
        <f t="shared" si="11"/>
        <v>Good</v>
      </c>
    </row>
    <row r="87" spans="1:14" x14ac:dyDescent="0.45">
      <c r="A87" t="s">
        <v>298</v>
      </c>
      <c r="B87" t="s">
        <v>93</v>
      </c>
      <c r="C87" s="5">
        <v>46029</v>
      </c>
      <c r="D87">
        <v>1000</v>
      </c>
      <c r="E87">
        <v>9</v>
      </c>
      <c r="F87">
        <v>200</v>
      </c>
      <c r="G87" t="str">
        <f>IF(B87="","Missing Product ID","Present")</f>
        <v>Present</v>
      </c>
      <c r="H87" t="str">
        <f t="shared" si="6"/>
        <v>Unique</v>
      </c>
      <c r="I87" t="str">
        <f t="shared" si="7"/>
        <v>Valid</v>
      </c>
      <c r="J87" t="str">
        <f t="shared" si="8"/>
        <v>Valid</v>
      </c>
      <c r="K87" t="str">
        <f t="shared" si="9"/>
        <v>Valid</v>
      </c>
      <c r="L87" t="str">
        <f>IF(B87="","Missing Product ID",IF(COUNTIF(Product_Master!A:A,B87)&gt;0,"Found","Not Found"))</f>
        <v>Found</v>
      </c>
      <c r="M87" t="str">
        <f t="shared" si="10"/>
        <v>Valid Date</v>
      </c>
      <c r="N87" t="str">
        <f t="shared" si="11"/>
        <v>Good</v>
      </c>
    </row>
    <row r="88" spans="1:14" x14ac:dyDescent="0.45">
      <c r="A88" t="s">
        <v>299</v>
      </c>
      <c r="B88" t="s">
        <v>115</v>
      </c>
      <c r="C88" s="5">
        <v>46219</v>
      </c>
      <c r="D88">
        <v>500</v>
      </c>
      <c r="E88">
        <v>2</v>
      </c>
      <c r="F88">
        <v>250</v>
      </c>
      <c r="G88" t="str">
        <f>IF(B88="","Missing Product ID","Present")</f>
        <v>Present</v>
      </c>
      <c r="H88" t="str">
        <f t="shared" si="6"/>
        <v>Unique</v>
      </c>
      <c r="I88" t="str">
        <f t="shared" si="7"/>
        <v>Valid</v>
      </c>
      <c r="J88" t="str">
        <f t="shared" si="8"/>
        <v>Valid</v>
      </c>
      <c r="K88" t="str">
        <f t="shared" si="9"/>
        <v>Valid</v>
      </c>
      <c r="L88" t="str">
        <f>IF(B88="","Missing Product ID",IF(COUNTIF(Product_Master!A:A,B88)&gt;0,"Found","Not Found"))</f>
        <v>Found</v>
      </c>
      <c r="M88" t="str">
        <f t="shared" si="10"/>
        <v>Valid Date</v>
      </c>
      <c r="N88" t="str">
        <f t="shared" si="11"/>
        <v>Good</v>
      </c>
    </row>
    <row r="89" spans="1:14" x14ac:dyDescent="0.45">
      <c r="A89" t="s">
        <v>300</v>
      </c>
      <c r="B89" t="s">
        <v>4</v>
      </c>
      <c r="C89" s="5">
        <v>46221</v>
      </c>
      <c r="D89">
        <v>400</v>
      </c>
      <c r="E89">
        <v>6</v>
      </c>
      <c r="F89">
        <v>200</v>
      </c>
      <c r="G89" t="str">
        <f>IF(B89="","Missing Product ID","Present")</f>
        <v>Present</v>
      </c>
      <c r="H89" t="str">
        <f t="shared" si="6"/>
        <v>Unique</v>
      </c>
      <c r="I89" t="str">
        <f t="shared" si="7"/>
        <v>Valid</v>
      </c>
      <c r="J89" t="str">
        <f t="shared" si="8"/>
        <v>Valid</v>
      </c>
      <c r="K89" t="str">
        <f t="shared" si="9"/>
        <v>Valid</v>
      </c>
      <c r="L89" t="str">
        <f>IF(B89="","Missing Product ID",IF(COUNTIF(Product_Master!A:A,B89)&gt;0,"Found","Not Found"))</f>
        <v>Found</v>
      </c>
      <c r="M89" t="str">
        <f t="shared" si="10"/>
        <v>Valid Date</v>
      </c>
      <c r="N89" t="str">
        <f t="shared" si="11"/>
        <v>Good</v>
      </c>
    </row>
    <row r="90" spans="1:14" x14ac:dyDescent="0.45">
      <c r="A90" t="s">
        <v>301</v>
      </c>
      <c r="B90" t="s">
        <v>199</v>
      </c>
      <c r="C90" s="5">
        <v>46121</v>
      </c>
      <c r="D90">
        <v>1000</v>
      </c>
      <c r="E90">
        <v>35</v>
      </c>
      <c r="F90">
        <v>200</v>
      </c>
      <c r="G90" t="str">
        <f>IF(B90="","Missing Product ID","Present")</f>
        <v>Present</v>
      </c>
      <c r="H90" t="str">
        <f t="shared" si="6"/>
        <v>Unique</v>
      </c>
      <c r="I90" t="str">
        <f t="shared" si="7"/>
        <v>Valid</v>
      </c>
      <c r="J90" t="str">
        <f t="shared" si="8"/>
        <v>Valid</v>
      </c>
      <c r="K90" t="str">
        <f t="shared" si="9"/>
        <v>Valid</v>
      </c>
      <c r="L90" t="str">
        <f>IF(B90="","Missing Product ID",IF(COUNTIF(Product_Master!A:A,B90)&gt;0,"Found","Not Found"))</f>
        <v>Found</v>
      </c>
      <c r="M90" t="str">
        <f t="shared" si="10"/>
        <v>Valid Date</v>
      </c>
      <c r="N90" t="str">
        <f t="shared" si="11"/>
        <v>Good</v>
      </c>
    </row>
    <row r="91" spans="1:14" x14ac:dyDescent="0.45">
      <c r="A91" t="s">
        <v>302</v>
      </c>
      <c r="B91" t="s">
        <v>119</v>
      </c>
      <c r="C91" s="5">
        <v>46195</v>
      </c>
      <c r="D91">
        <v>750</v>
      </c>
      <c r="E91">
        <v>2</v>
      </c>
      <c r="F91">
        <v>200</v>
      </c>
      <c r="G91" t="str">
        <f>IF(B91="","Missing Product ID","Present")</f>
        <v>Present</v>
      </c>
      <c r="H91" t="str">
        <f t="shared" si="6"/>
        <v>Unique</v>
      </c>
      <c r="I91" t="str">
        <f t="shared" si="7"/>
        <v>Valid</v>
      </c>
      <c r="J91" t="str">
        <f t="shared" si="8"/>
        <v>Valid</v>
      </c>
      <c r="K91" t="str">
        <f t="shared" si="9"/>
        <v>Valid</v>
      </c>
      <c r="L91" t="str">
        <f>IF(B91="","Missing Product ID",IF(COUNTIF(Product_Master!A:A,B91)&gt;0,"Found","Not Found"))</f>
        <v>Found</v>
      </c>
      <c r="M91" t="str">
        <f t="shared" si="10"/>
        <v>Valid Date</v>
      </c>
      <c r="N91" t="str">
        <f t="shared" si="11"/>
        <v>Good</v>
      </c>
    </row>
    <row r="92" spans="1:14" x14ac:dyDescent="0.45">
      <c r="A92" t="s">
        <v>303</v>
      </c>
      <c r="B92" t="s">
        <v>181</v>
      </c>
      <c r="C92" s="5">
        <v>46101</v>
      </c>
      <c r="D92">
        <v>500</v>
      </c>
      <c r="E92">
        <v>4</v>
      </c>
      <c r="F92">
        <v>200</v>
      </c>
      <c r="G92" t="str">
        <f>IF(B92="","Missing Product ID","Present")</f>
        <v>Present</v>
      </c>
      <c r="H92" t="str">
        <f t="shared" si="6"/>
        <v>Unique</v>
      </c>
      <c r="I92" t="str">
        <f t="shared" si="7"/>
        <v>Valid</v>
      </c>
      <c r="J92" t="str">
        <f t="shared" si="8"/>
        <v>Valid</v>
      </c>
      <c r="K92" t="str">
        <f t="shared" si="9"/>
        <v>Valid</v>
      </c>
      <c r="L92" t="str">
        <f>IF(B92="","Missing Product ID",IF(COUNTIF(Product_Master!A:A,B92)&gt;0,"Found","Not Found"))</f>
        <v>Found</v>
      </c>
      <c r="M92" t="str">
        <f t="shared" si="10"/>
        <v>Valid Date</v>
      </c>
      <c r="N92" t="str">
        <f t="shared" si="11"/>
        <v>Good</v>
      </c>
    </row>
    <row r="93" spans="1:14" x14ac:dyDescent="0.45">
      <c r="A93" t="s">
        <v>304</v>
      </c>
      <c r="B93" t="s">
        <v>145</v>
      </c>
      <c r="C93" s="5">
        <v>46317</v>
      </c>
      <c r="D93">
        <v>100</v>
      </c>
      <c r="E93">
        <v>8</v>
      </c>
      <c r="F93">
        <v>250</v>
      </c>
      <c r="G93" t="str">
        <f>IF(B93="","Missing Product ID","Present")</f>
        <v>Present</v>
      </c>
      <c r="H93" t="str">
        <f t="shared" si="6"/>
        <v>Unique</v>
      </c>
      <c r="I93" t="str">
        <f t="shared" si="7"/>
        <v>Valid</v>
      </c>
      <c r="J93" t="str">
        <f t="shared" si="8"/>
        <v>Valid</v>
      </c>
      <c r="K93" t="str">
        <f t="shared" si="9"/>
        <v>Valid</v>
      </c>
      <c r="L93" t="str">
        <f>IF(B93="","Missing Product ID",IF(COUNTIF(Product_Master!A:A,B93)&gt;0,"Found","Not Found"))</f>
        <v>Found</v>
      </c>
      <c r="M93" t="str">
        <f t="shared" si="10"/>
        <v>Valid Date</v>
      </c>
      <c r="N93" t="str">
        <f t="shared" si="11"/>
        <v>Good</v>
      </c>
    </row>
    <row r="94" spans="1:14" x14ac:dyDescent="0.45">
      <c r="A94" t="s">
        <v>305</v>
      </c>
      <c r="B94" t="s">
        <v>13</v>
      </c>
      <c r="C94" s="5">
        <v>46240</v>
      </c>
      <c r="D94">
        <v>150</v>
      </c>
      <c r="E94">
        <v>8</v>
      </c>
      <c r="F94">
        <v>100</v>
      </c>
      <c r="G94" t="str">
        <f>IF(B94="","Missing Product ID","Present")</f>
        <v>Present</v>
      </c>
      <c r="H94" t="str">
        <f t="shared" si="6"/>
        <v>Unique</v>
      </c>
      <c r="I94" t="str">
        <f t="shared" si="7"/>
        <v>Valid</v>
      </c>
      <c r="J94" t="str">
        <f t="shared" si="8"/>
        <v>Valid</v>
      </c>
      <c r="K94" t="str">
        <f t="shared" si="9"/>
        <v>Valid</v>
      </c>
      <c r="L94" t="str">
        <f>IF(B94="","Missing Product ID",IF(COUNTIF(Product_Master!A:A,B94)&gt;0,"Found","Not Found"))</f>
        <v>Found</v>
      </c>
      <c r="M94" t="str">
        <f t="shared" si="10"/>
        <v>Valid Date</v>
      </c>
      <c r="N94" t="str">
        <f t="shared" si="11"/>
        <v>Good</v>
      </c>
    </row>
    <row r="95" spans="1:14" x14ac:dyDescent="0.45">
      <c r="A95" t="s">
        <v>306</v>
      </c>
      <c r="B95" t="s">
        <v>21</v>
      </c>
      <c r="C95" s="5">
        <v>46127</v>
      </c>
      <c r="D95">
        <v>300</v>
      </c>
      <c r="E95">
        <v>8</v>
      </c>
      <c r="F95">
        <v>150</v>
      </c>
      <c r="G95" t="str">
        <f>IF(B95="","Missing Product ID","Present")</f>
        <v>Present</v>
      </c>
      <c r="H95" t="str">
        <f t="shared" si="6"/>
        <v>Unique</v>
      </c>
      <c r="I95" t="str">
        <f t="shared" si="7"/>
        <v>Valid</v>
      </c>
      <c r="J95" t="str">
        <f t="shared" si="8"/>
        <v>Valid</v>
      </c>
      <c r="K95" t="str">
        <f t="shared" si="9"/>
        <v>Valid</v>
      </c>
      <c r="L95" t="str">
        <f>IF(B95="","Missing Product ID",IF(COUNTIF(Product_Master!A:A,B95)&gt;0,"Found","Not Found"))</f>
        <v>Found</v>
      </c>
      <c r="M95" t="str">
        <f t="shared" si="10"/>
        <v>Valid Date</v>
      </c>
      <c r="N95" t="str">
        <f t="shared" si="11"/>
        <v>Good</v>
      </c>
    </row>
    <row r="96" spans="1:14" x14ac:dyDescent="0.45">
      <c r="A96" t="s">
        <v>307</v>
      </c>
      <c r="B96" t="s">
        <v>91</v>
      </c>
      <c r="C96" s="5">
        <v>46212</v>
      </c>
      <c r="D96">
        <v>400</v>
      </c>
      <c r="E96">
        <v>8</v>
      </c>
      <c r="F96">
        <v>150</v>
      </c>
      <c r="G96" t="str">
        <f>IF(B96="","Missing Product ID","Present")</f>
        <v>Present</v>
      </c>
      <c r="H96" t="str">
        <f t="shared" si="6"/>
        <v>Unique</v>
      </c>
      <c r="I96" t="str">
        <f t="shared" si="7"/>
        <v>Valid</v>
      </c>
      <c r="J96" t="str">
        <f t="shared" si="8"/>
        <v>Valid</v>
      </c>
      <c r="K96" t="str">
        <f t="shared" si="9"/>
        <v>Valid</v>
      </c>
      <c r="L96" t="str">
        <f>IF(B96="","Missing Product ID",IF(COUNTIF(Product_Master!A:A,B96)&gt;0,"Found","Not Found"))</f>
        <v>Found</v>
      </c>
      <c r="M96" t="str">
        <f t="shared" si="10"/>
        <v>Valid Date</v>
      </c>
      <c r="N96" t="str">
        <f t="shared" si="11"/>
        <v>Good</v>
      </c>
    </row>
    <row r="97" spans="1:14" x14ac:dyDescent="0.45">
      <c r="A97" t="s">
        <v>308</v>
      </c>
      <c r="B97" t="s">
        <v>29</v>
      </c>
      <c r="C97" s="5">
        <v>46034</v>
      </c>
      <c r="D97">
        <v>750</v>
      </c>
      <c r="E97">
        <v>2</v>
      </c>
      <c r="F97">
        <v>250</v>
      </c>
      <c r="G97" t="str">
        <f>IF(B97="","Missing Product ID","Present")</f>
        <v>Present</v>
      </c>
      <c r="H97" t="str">
        <f t="shared" si="6"/>
        <v>Unique</v>
      </c>
      <c r="I97" t="str">
        <f t="shared" si="7"/>
        <v>Valid</v>
      </c>
      <c r="J97" t="str">
        <f t="shared" si="8"/>
        <v>Valid</v>
      </c>
      <c r="K97" t="str">
        <f t="shared" si="9"/>
        <v>Valid</v>
      </c>
      <c r="L97" t="str">
        <f>IF(B97="","Missing Product ID",IF(COUNTIF(Product_Master!A:A,B97)&gt;0,"Found","Not Found"))</f>
        <v>Found</v>
      </c>
      <c r="M97" t="str">
        <f t="shared" si="10"/>
        <v>Valid Date</v>
      </c>
      <c r="N97" t="str">
        <f t="shared" si="11"/>
        <v>Good</v>
      </c>
    </row>
    <row r="98" spans="1:14" x14ac:dyDescent="0.45">
      <c r="A98" t="s">
        <v>309</v>
      </c>
      <c r="B98" t="s">
        <v>65</v>
      </c>
      <c r="C98" s="5">
        <v>46119</v>
      </c>
      <c r="D98">
        <v>150</v>
      </c>
      <c r="E98">
        <v>2</v>
      </c>
      <c r="F98">
        <v>50</v>
      </c>
      <c r="G98" t="str">
        <f>IF(B98="","Missing Product ID","Present")</f>
        <v>Present</v>
      </c>
      <c r="H98" t="str">
        <f t="shared" si="6"/>
        <v>Unique</v>
      </c>
      <c r="I98" t="str">
        <f t="shared" si="7"/>
        <v>Valid</v>
      </c>
      <c r="J98" t="str">
        <f t="shared" si="8"/>
        <v>Valid</v>
      </c>
      <c r="K98" t="str">
        <f t="shared" si="9"/>
        <v>Valid</v>
      </c>
      <c r="L98" t="str">
        <f>IF(B98="","Missing Product ID",IF(COUNTIF(Product_Master!A:A,B98)&gt;0,"Found","Not Found"))</f>
        <v>Found</v>
      </c>
      <c r="M98" t="str">
        <f t="shared" si="10"/>
        <v>Valid Date</v>
      </c>
      <c r="N98" t="str">
        <f t="shared" si="11"/>
        <v>Good</v>
      </c>
    </row>
    <row r="99" spans="1:14" x14ac:dyDescent="0.45">
      <c r="A99" t="s">
        <v>310</v>
      </c>
      <c r="B99" t="s">
        <v>10</v>
      </c>
      <c r="C99" s="5">
        <v>46256</v>
      </c>
      <c r="D99">
        <v>200</v>
      </c>
      <c r="E99">
        <v>5</v>
      </c>
      <c r="F99">
        <v>100</v>
      </c>
      <c r="G99" t="str">
        <f>IF(B99="","Missing Product ID","Present")</f>
        <v>Present</v>
      </c>
      <c r="H99" t="str">
        <f t="shared" si="6"/>
        <v>Unique</v>
      </c>
      <c r="I99" t="str">
        <f t="shared" si="7"/>
        <v>Valid</v>
      </c>
      <c r="J99" t="str">
        <f t="shared" si="8"/>
        <v>Valid</v>
      </c>
      <c r="K99" t="str">
        <f t="shared" si="9"/>
        <v>Valid</v>
      </c>
      <c r="L99" t="str">
        <f>IF(B99="","Missing Product ID",IF(COUNTIF(Product_Master!A:A,B99)&gt;0,"Found","Not Found"))</f>
        <v>Found</v>
      </c>
      <c r="M99" t="str">
        <f t="shared" si="10"/>
        <v>Valid Date</v>
      </c>
      <c r="N99" t="str">
        <f t="shared" si="11"/>
        <v>Good</v>
      </c>
    </row>
    <row r="100" spans="1:14" x14ac:dyDescent="0.45">
      <c r="A100" t="s">
        <v>311</v>
      </c>
      <c r="B100" t="s">
        <v>37</v>
      </c>
      <c r="C100" s="5">
        <v>46179</v>
      </c>
      <c r="D100">
        <v>250</v>
      </c>
      <c r="E100">
        <v>9</v>
      </c>
      <c r="F100">
        <v>150</v>
      </c>
      <c r="G100" t="str">
        <f>IF(B100="","Missing Product ID","Present")</f>
        <v>Present</v>
      </c>
      <c r="H100" t="str">
        <f t="shared" si="6"/>
        <v>Unique</v>
      </c>
      <c r="I100" t="str">
        <f t="shared" si="7"/>
        <v>Valid</v>
      </c>
      <c r="J100" t="str">
        <f t="shared" si="8"/>
        <v>Valid</v>
      </c>
      <c r="K100" t="str">
        <f t="shared" si="9"/>
        <v>Valid</v>
      </c>
      <c r="L100" t="str">
        <f>IF(B100="","Missing Product ID",IF(COUNTIF(Product_Master!A:A,B100)&gt;0,"Found","Not Found"))</f>
        <v>Found</v>
      </c>
      <c r="M100" t="str">
        <f t="shared" si="10"/>
        <v>Valid Date</v>
      </c>
      <c r="N100" t="str">
        <f t="shared" si="11"/>
        <v>Good</v>
      </c>
    </row>
    <row r="101" spans="1:14" x14ac:dyDescent="0.45">
      <c r="A101" t="s">
        <v>312</v>
      </c>
      <c r="B101" t="s">
        <v>163</v>
      </c>
      <c r="C101" s="5">
        <v>46072</v>
      </c>
      <c r="D101">
        <v>150</v>
      </c>
      <c r="E101">
        <v>4</v>
      </c>
      <c r="F101">
        <v>150</v>
      </c>
      <c r="G101" t="str">
        <f>IF(B101="","Missing Product ID","Present")</f>
        <v>Present</v>
      </c>
      <c r="H101" t="str">
        <f t="shared" si="6"/>
        <v>Unique</v>
      </c>
      <c r="I101" t="str">
        <f t="shared" si="7"/>
        <v>Valid</v>
      </c>
      <c r="J101" t="str">
        <f t="shared" si="8"/>
        <v>Valid</v>
      </c>
      <c r="K101" t="str">
        <f t="shared" si="9"/>
        <v>Valid</v>
      </c>
      <c r="L101" t="str">
        <f>IF(B101="","Missing Product ID",IF(COUNTIF(Product_Master!A:A,B101)&gt;0,"Found","Not Found"))</f>
        <v>Found</v>
      </c>
      <c r="M101" t="str">
        <f t="shared" si="10"/>
        <v>Valid Date</v>
      </c>
      <c r="N101" t="str">
        <f t="shared" si="11"/>
        <v>Good</v>
      </c>
    </row>
    <row r="102" spans="1:14" x14ac:dyDescent="0.45">
      <c r="A102" t="s">
        <v>313</v>
      </c>
      <c r="B102" t="s">
        <v>13</v>
      </c>
      <c r="C102" s="5">
        <v>46363</v>
      </c>
      <c r="D102">
        <v>300</v>
      </c>
      <c r="E102">
        <v>8</v>
      </c>
      <c r="F102">
        <v>200</v>
      </c>
      <c r="G102" t="str">
        <f>IF(B102="","Missing Product ID","Present")</f>
        <v>Present</v>
      </c>
      <c r="H102" t="str">
        <f t="shared" si="6"/>
        <v>Unique</v>
      </c>
      <c r="I102" t="str">
        <f t="shared" si="7"/>
        <v>Valid</v>
      </c>
      <c r="J102" t="str">
        <f t="shared" si="8"/>
        <v>Valid</v>
      </c>
      <c r="K102" t="str">
        <f t="shared" si="9"/>
        <v>Valid</v>
      </c>
      <c r="L102" t="str">
        <f>IF(B102="","Missing Product ID",IF(COUNTIF(Product_Master!A:A,B102)&gt;0,"Found","Not Found"))</f>
        <v>Found</v>
      </c>
      <c r="M102" t="str">
        <f t="shared" si="10"/>
        <v>Valid Date</v>
      </c>
      <c r="N102" t="str">
        <f t="shared" si="11"/>
        <v>Good</v>
      </c>
    </row>
    <row r="103" spans="1:14" x14ac:dyDescent="0.45">
      <c r="A103" t="s">
        <v>314</v>
      </c>
      <c r="B103" t="s">
        <v>27</v>
      </c>
      <c r="C103" s="5">
        <v>46346</v>
      </c>
      <c r="D103">
        <v>250</v>
      </c>
      <c r="E103">
        <v>3</v>
      </c>
      <c r="F103">
        <v>150</v>
      </c>
      <c r="G103" t="str">
        <f>IF(B103="","Missing Product ID","Present")</f>
        <v>Present</v>
      </c>
      <c r="H103" t="str">
        <f t="shared" si="6"/>
        <v>Unique</v>
      </c>
      <c r="I103" t="str">
        <f t="shared" si="7"/>
        <v>Valid</v>
      </c>
      <c r="J103" t="str">
        <f t="shared" si="8"/>
        <v>Valid</v>
      </c>
      <c r="K103" t="str">
        <f t="shared" si="9"/>
        <v>Valid</v>
      </c>
      <c r="L103" t="str">
        <f>IF(B103="","Missing Product ID",IF(COUNTIF(Product_Master!A:A,B103)&gt;0,"Found","Not Found"))</f>
        <v>Found</v>
      </c>
      <c r="M103" t="str">
        <f t="shared" si="10"/>
        <v>Valid Date</v>
      </c>
      <c r="N103" t="str">
        <f t="shared" si="11"/>
        <v>Good</v>
      </c>
    </row>
    <row r="104" spans="1:14" x14ac:dyDescent="0.45">
      <c r="A104" t="s">
        <v>315</v>
      </c>
      <c r="B104" t="s">
        <v>39</v>
      </c>
      <c r="C104" s="5">
        <v>46225</v>
      </c>
      <c r="D104">
        <v>100</v>
      </c>
      <c r="E104">
        <v>7</v>
      </c>
      <c r="F104">
        <v>250</v>
      </c>
      <c r="G104" t="str">
        <f>IF(B104="","Missing Product ID","Present")</f>
        <v>Present</v>
      </c>
      <c r="H104" t="str">
        <f t="shared" si="6"/>
        <v>Unique</v>
      </c>
      <c r="I104" t="str">
        <f t="shared" si="7"/>
        <v>Valid</v>
      </c>
      <c r="J104" t="str">
        <f t="shared" si="8"/>
        <v>Valid</v>
      </c>
      <c r="K104" t="str">
        <f t="shared" si="9"/>
        <v>Valid</v>
      </c>
      <c r="L104" t="str">
        <f>IF(B104="","Missing Product ID",IF(COUNTIF(Product_Master!A:A,B104)&gt;0,"Found","Not Found"))</f>
        <v>Found</v>
      </c>
      <c r="M104" t="str">
        <f t="shared" si="10"/>
        <v>Valid Date</v>
      </c>
      <c r="N104" t="str">
        <f t="shared" si="11"/>
        <v>Good</v>
      </c>
    </row>
    <row r="105" spans="1:14" x14ac:dyDescent="0.45">
      <c r="A105" t="s">
        <v>316</v>
      </c>
      <c r="B105" t="s">
        <v>103</v>
      </c>
      <c r="C105" s="5">
        <v>46050</v>
      </c>
      <c r="D105">
        <v>150</v>
      </c>
      <c r="E105">
        <v>10</v>
      </c>
      <c r="F105">
        <v>150</v>
      </c>
      <c r="G105" t="str">
        <f>IF(B105="","Missing Product ID","Present")</f>
        <v>Present</v>
      </c>
      <c r="H105" t="str">
        <f t="shared" si="6"/>
        <v>Unique</v>
      </c>
      <c r="I105" t="str">
        <f t="shared" si="7"/>
        <v>Valid</v>
      </c>
      <c r="J105" t="str">
        <f t="shared" si="8"/>
        <v>Valid</v>
      </c>
      <c r="K105" t="str">
        <f t="shared" si="9"/>
        <v>Valid</v>
      </c>
      <c r="L105" t="str">
        <f>IF(B105="","Missing Product ID",IF(COUNTIF(Product_Master!A:A,B105)&gt;0,"Found","Not Found"))</f>
        <v>Found</v>
      </c>
      <c r="M105" t="str">
        <f t="shared" si="10"/>
        <v>Valid Date</v>
      </c>
      <c r="N105" t="str">
        <f t="shared" si="11"/>
        <v>Good</v>
      </c>
    </row>
    <row r="106" spans="1:14" x14ac:dyDescent="0.45">
      <c r="A106" t="s">
        <v>317</v>
      </c>
      <c r="B106" t="s">
        <v>115</v>
      </c>
      <c r="C106" s="5">
        <v>46194</v>
      </c>
      <c r="D106">
        <v>750</v>
      </c>
      <c r="E106">
        <v>3</v>
      </c>
      <c r="F106">
        <v>200</v>
      </c>
      <c r="G106" t="str">
        <f>IF(B106="","Missing Product ID","Present")</f>
        <v>Present</v>
      </c>
      <c r="H106" t="str">
        <f t="shared" si="6"/>
        <v>Unique</v>
      </c>
      <c r="I106" t="str">
        <f t="shared" si="7"/>
        <v>Valid</v>
      </c>
      <c r="J106" t="str">
        <f t="shared" si="8"/>
        <v>Valid</v>
      </c>
      <c r="K106" t="str">
        <f t="shared" si="9"/>
        <v>Valid</v>
      </c>
      <c r="L106" t="str">
        <f>IF(B106="","Missing Product ID",IF(COUNTIF(Product_Master!A:A,B106)&gt;0,"Found","Not Found"))</f>
        <v>Found</v>
      </c>
      <c r="M106" t="str">
        <f t="shared" si="10"/>
        <v>Valid Date</v>
      </c>
      <c r="N106" t="str">
        <f t="shared" si="11"/>
        <v>Good</v>
      </c>
    </row>
    <row r="107" spans="1:14" x14ac:dyDescent="0.45">
      <c r="A107" t="s">
        <v>318</v>
      </c>
      <c r="B107" t="s">
        <v>125</v>
      </c>
      <c r="C107" s="5">
        <v>46373</v>
      </c>
      <c r="D107">
        <v>200</v>
      </c>
      <c r="E107">
        <v>8</v>
      </c>
      <c r="F107">
        <v>100</v>
      </c>
      <c r="G107" t="str">
        <f>IF(B107="","Missing Product ID","Present")</f>
        <v>Present</v>
      </c>
      <c r="H107" t="str">
        <f t="shared" si="6"/>
        <v>Unique</v>
      </c>
      <c r="I107" t="str">
        <f t="shared" si="7"/>
        <v>Valid</v>
      </c>
      <c r="J107" t="str">
        <f t="shared" si="8"/>
        <v>Valid</v>
      </c>
      <c r="K107" t="str">
        <f t="shared" si="9"/>
        <v>Valid</v>
      </c>
      <c r="L107" t="str">
        <f>IF(B107="","Missing Product ID",IF(COUNTIF(Product_Master!A:A,B107)&gt;0,"Found","Not Found"))</f>
        <v>Found</v>
      </c>
      <c r="M107" t="str">
        <f t="shared" si="10"/>
        <v>Valid Date</v>
      </c>
      <c r="N107" t="str">
        <f t="shared" si="11"/>
        <v>Good</v>
      </c>
    </row>
    <row r="108" spans="1:14" x14ac:dyDescent="0.45">
      <c r="A108" t="s">
        <v>319</v>
      </c>
      <c r="B108" t="s">
        <v>175</v>
      </c>
      <c r="C108" s="5">
        <v>46248</v>
      </c>
      <c r="D108">
        <v>300</v>
      </c>
      <c r="E108">
        <v>10</v>
      </c>
      <c r="F108">
        <v>200</v>
      </c>
      <c r="G108" t="str">
        <f>IF(B108="","Missing Product ID","Present")</f>
        <v>Present</v>
      </c>
      <c r="H108" t="str">
        <f t="shared" si="6"/>
        <v>Unique</v>
      </c>
      <c r="I108" t="str">
        <f t="shared" si="7"/>
        <v>Valid</v>
      </c>
      <c r="J108" t="str">
        <f t="shared" si="8"/>
        <v>Valid</v>
      </c>
      <c r="K108" t="str">
        <f t="shared" si="9"/>
        <v>Valid</v>
      </c>
      <c r="L108" t="str">
        <f>IF(B108="","Missing Product ID",IF(COUNTIF(Product_Master!A:A,B108)&gt;0,"Found","Not Found"))</f>
        <v>Found</v>
      </c>
      <c r="M108" t="str">
        <f t="shared" si="10"/>
        <v>Valid Date</v>
      </c>
      <c r="N108" t="str">
        <f t="shared" si="11"/>
        <v>Good</v>
      </c>
    </row>
    <row r="109" spans="1:14" x14ac:dyDescent="0.45">
      <c r="A109" t="s">
        <v>320</v>
      </c>
      <c r="B109" t="s">
        <v>195</v>
      </c>
      <c r="C109" s="5">
        <v>46062</v>
      </c>
      <c r="D109">
        <v>300</v>
      </c>
      <c r="E109">
        <v>7</v>
      </c>
      <c r="F109">
        <v>100</v>
      </c>
      <c r="G109" t="str">
        <f>IF(B109="","Missing Product ID","Present")</f>
        <v>Present</v>
      </c>
      <c r="H109" t="str">
        <f t="shared" si="6"/>
        <v>Unique</v>
      </c>
      <c r="I109" t="str">
        <f t="shared" si="7"/>
        <v>Valid</v>
      </c>
      <c r="J109" t="str">
        <f t="shared" si="8"/>
        <v>Valid</v>
      </c>
      <c r="K109" t="str">
        <f t="shared" si="9"/>
        <v>Valid</v>
      </c>
      <c r="L109" t="str">
        <f>IF(B109="","Missing Product ID",IF(COUNTIF(Product_Master!A:A,B109)&gt;0,"Found","Not Found"))</f>
        <v>Found</v>
      </c>
      <c r="M109" t="str">
        <f t="shared" si="10"/>
        <v>Valid Date</v>
      </c>
      <c r="N109" t="str">
        <f t="shared" si="11"/>
        <v>Good</v>
      </c>
    </row>
    <row r="110" spans="1:14" x14ac:dyDescent="0.45">
      <c r="A110" t="s">
        <v>321</v>
      </c>
      <c r="B110" t="s">
        <v>123</v>
      </c>
      <c r="C110" s="5">
        <v>46317</v>
      </c>
      <c r="D110">
        <v>250</v>
      </c>
      <c r="E110">
        <v>9</v>
      </c>
      <c r="F110">
        <v>250</v>
      </c>
      <c r="G110" t="str">
        <f>IF(B110="","Missing Product ID","Present")</f>
        <v>Present</v>
      </c>
      <c r="H110" t="str">
        <f t="shared" si="6"/>
        <v>Unique</v>
      </c>
      <c r="I110" t="str">
        <f t="shared" si="7"/>
        <v>Valid</v>
      </c>
      <c r="J110" t="str">
        <f t="shared" si="8"/>
        <v>Valid</v>
      </c>
      <c r="K110" t="str">
        <f t="shared" si="9"/>
        <v>Valid</v>
      </c>
      <c r="L110" t="str">
        <f>IF(B110="","Missing Product ID",IF(COUNTIF(Product_Master!A:A,B110)&gt;0,"Found","Not Found"))</f>
        <v>Found</v>
      </c>
      <c r="M110" t="str">
        <f t="shared" si="10"/>
        <v>Valid Date</v>
      </c>
      <c r="N110" t="str">
        <f t="shared" si="11"/>
        <v>Good</v>
      </c>
    </row>
    <row r="111" spans="1:14" x14ac:dyDescent="0.45">
      <c r="A111" t="s">
        <v>322</v>
      </c>
      <c r="B111" t="s">
        <v>105</v>
      </c>
      <c r="C111" s="5">
        <v>46179</v>
      </c>
      <c r="D111">
        <v>400</v>
      </c>
      <c r="E111">
        <v>2</v>
      </c>
      <c r="F111">
        <v>200</v>
      </c>
      <c r="G111" t="str">
        <f>IF(B111="","Missing Product ID","Present")</f>
        <v>Present</v>
      </c>
      <c r="H111" t="str">
        <f t="shared" si="6"/>
        <v>Unique</v>
      </c>
      <c r="I111" t="str">
        <f t="shared" si="7"/>
        <v>Valid</v>
      </c>
      <c r="J111" t="str">
        <f t="shared" si="8"/>
        <v>Valid</v>
      </c>
      <c r="K111" t="str">
        <f t="shared" si="9"/>
        <v>Valid</v>
      </c>
      <c r="L111" t="str">
        <f>IF(B111="","Missing Product ID",IF(COUNTIF(Product_Master!A:A,B111)&gt;0,"Found","Not Found"))</f>
        <v>Found</v>
      </c>
      <c r="M111" t="str">
        <f t="shared" si="10"/>
        <v>Valid Date</v>
      </c>
      <c r="N111" t="str">
        <f t="shared" si="11"/>
        <v>Good</v>
      </c>
    </row>
    <row r="112" spans="1:14" x14ac:dyDescent="0.45">
      <c r="A112" t="s">
        <v>323</v>
      </c>
      <c r="B112" t="s">
        <v>133</v>
      </c>
      <c r="C112" s="5">
        <v>46182</v>
      </c>
      <c r="D112">
        <v>250</v>
      </c>
      <c r="E112">
        <v>7</v>
      </c>
      <c r="F112">
        <v>150</v>
      </c>
      <c r="G112" t="str">
        <f>IF(B112="","Missing Product ID","Present")</f>
        <v>Present</v>
      </c>
      <c r="H112" t="str">
        <f t="shared" si="6"/>
        <v>Unique</v>
      </c>
      <c r="I112" t="str">
        <f t="shared" si="7"/>
        <v>Valid</v>
      </c>
      <c r="J112" t="str">
        <f t="shared" si="8"/>
        <v>Valid</v>
      </c>
      <c r="K112" t="str">
        <f t="shared" si="9"/>
        <v>Valid</v>
      </c>
      <c r="L112" t="str">
        <f>IF(B112="","Missing Product ID",IF(COUNTIF(Product_Master!A:A,B112)&gt;0,"Found","Not Found"))</f>
        <v>Found</v>
      </c>
      <c r="M112" t="str">
        <f t="shared" si="10"/>
        <v>Valid Date</v>
      </c>
      <c r="N112" t="str">
        <f t="shared" si="11"/>
        <v>Good</v>
      </c>
    </row>
    <row r="113" spans="1:14" x14ac:dyDescent="0.45">
      <c r="A113" t="s">
        <v>324</v>
      </c>
      <c r="B113" t="s">
        <v>27</v>
      </c>
      <c r="C113" s="5">
        <v>46272</v>
      </c>
      <c r="D113">
        <v>300</v>
      </c>
      <c r="E113">
        <v>10</v>
      </c>
      <c r="F113">
        <v>50</v>
      </c>
      <c r="G113" t="str">
        <f>IF(B113="","Missing Product ID","Present")</f>
        <v>Present</v>
      </c>
      <c r="H113" t="str">
        <f t="shared" si="6"/>
        <v>Unique</v>
      </c>
      <c r="I113" t="str">
        <f t="shared" si="7"/>
        <v>Valid</v>
      </c>
      <c r="J113" t="str">
        <f t="shared" si="8"/>
        <v>Valid</v>
      </c>
      <c r="K113" t="str">
        <f t="shared" si="9"/>
        <v>Valid</v>
      </c>
      <c r="L113" t="str">
        <f>IF(B113="","Missing Product ID",IF(COUNTIF(Product_Master!A:A,B113)&gt;0,"Found","Not Found"))</f>
        <v>Found</v>
      </c>
      <c r="M113" t="str">
        <f t="shared" si="10"/>
        <v>Valid Date</v>
      </c>
      <c r="N113" t="str">
        <f t="shared" si="11"/>
        <v>Good</v>
      </c>
    </row>
    <row r="114" spans="1:14" x14ac:dyDescent="0.45">
      <c r="A114" t="s">
        <v>325</v>
      </c>
      <c r="B114" t="s">
        <v>29</v>
      </c>
      <c r="C114" s="5">
        <v>46290</v>
      </c>
      <c r="D114">
        <v>250</v>
      </c>
      <c r="E114">
        <v>8</v>
      </c>
      <c r="F114">
        <v>200</v>
      </c>
      <c r="G114" t="str">
        <f>IF(B114="","Missing Product ID","Present")</f>
        <v>Present</v>
      </c>
      <c r="H114" t="str">
        <f t="shared" si="6"/>
        <v>Unique</v>
      </c>
      <c r="I114" t="str">
        <f t="shared" si="7"/>
        <v>Valid</v>
      </c>
      <c r="J114" t="str">
        <f t="shared" si="8"/>
        <v>Valid</v>
      </c>
      <c r="K114" t="str">
        <f t="shared" si="9"/>
        <v>Valid</v>
      </c>
      <c r="L114" t="str">
        <f>IF(B114="","Missing Product ID",IF(COUNTIF(Product_Master!A:A,B114)&gt;0,"Found","Not Found"))</f>
        <v>Found</v>
      </c>
      <c r="M114" t="str">
        <f t="shared" si="10"/>
        <v>Valid Date</v>
      </c>
      <c r="N114" t="str">
        <f t="shared" si="11"/>
        <v>Good</v>
      </c>
    </row>
    <row r="115" spans="1:14" x14ac:dyDescent="0.45">
      <c r="A115" t="s">
        <v>326</v>
      </c>
      <c r="B115" t="s">
        <v>69</v>
      </c>
      <c r="C115" s="5">
        <v>46025</v>
      </c>
      <c r="D115">
        <v>750</v>
      </c>
      <c r="E115">
        <v>9</v>
      </c>
      <c r="F115">
        <v>200</v>
      </c>
      <c r="G115" t="str">
        <f>IF(B115="","Missing Product ID","Present")</f>
        <v>Present</v>
      </c>
      <c r="H115" t="str">
        <f t="shared" si="6"/>
        <v>Unique</v>
      </c>
      <c r="I115" t="str">
        <f t="shared" si="7"/>
        <v>Valid</v>
      </c>
      <c r="J115" t="str">
        <f t="shared" si="8"/>
        <v>Valid</v>
      </c>
      <c r="K115" t="str">
        <f t="shared" si="9"/>
        <v>Valid</v>
      </c>
      <c r="L115" t="str">
        <f>IF(B115="","Missing Product ID",IF(COUNTIF(Product_Master!A:A,B115)&gt;0,"Found","Not Found"))</f>
        <v>Found</v>
      </c>
      <c r="M115" t="str">
        <f t="shared" si="10"/>
        <v>Valid Date</v>
      </c>
      <c r="N115" t="str">
        <f t="shared" si="11"/>
        <v>Good</v>
      </c>
    </row>
    <row r="116" spans="1:14" x14ac:dyDescent="0.45">
      <c r="A116" t="s">
        <v>327</v>
      </c>
      <c r="B116" t="s">
        <v>83</v>
      </c>
      <c r="C116" s="5">
        <v>46164</v>
      </c>
      <c r="D116">
        <v>250</v>
      </c>
      <c r="E116">
        <v>8</v>
      </c>
      <c r="F116">
        <v>100</v>
      </c>
      <c r="G116" t="str">
        <f>IF(B116="","Missing Product ID","Present")</f>
        <v>Present</v>
      </c>
      <c r="H116" t="str">
        <f t="shared" si="6"/>
        <v>Unique</v>
      </c>
      <c r="I116" t="str">
        <f t="shared" si="7"/>
        <v>Valid</v>
      </c>
      <c r="J116" t="str">
        <f t="shared" si="8"/>
        <v>Valid</v>
      </c>
      <c r="K116" t="str">
        <f t="shared" si="9"/>
        <v>Valid</v>
      </c>
      <c r="L116" t="str">
        <f>IF(B116="","Missing Product ID",IF(COUNTIF(Product_Master!A:A,B116)&gt;0,"Found","Not Found"))</f>
        <v>Found</v>
      </c>
      <c r="M116" t="str">
        <f t="shared" si="10"/>
        <v>Valid Date</v>
      </c>
      <c r="N116" t="str">
        <f t="shared" si="11"/>
        <v>Good</v>
      </c>
    </row>
    <row r="117" spans="1:14" x14ac:dyDescent="0.45">
      <c r="A117" t="s">
        <v>328</v>
      </c>
      <c r="B117" t="s">
        <v>157</v>
      </c>
      <c r="C117" s="5">
        <v>46277</v>
      </c>
      <c r="D117">
        <v>400</v>
      </c>
      <c r="E117">
        <v>9</v>
      </c>
      <c r="F117">
        <v>250</v>
      </c>
      <c r="G117" t="str">
        <f>IF(B117="","Missing Product ID","Present")</f>
        <v>Present</v>
      </c>
      <c r="H117" t="str">
        <f t="shared" si="6"/>
        <v>Unique</v>
      </c>
      <c r="I117" t="str">
        <f t="shared" si="7"/>
        <v>Valid</v>
      </c>
      <c r="J117" t="str">
        <f t="shared" si="8"/>
        <v>Valid</v>
      </c>
      <c r="K117" t="str">
        <f t="shared" si="9"/>
        <v>Valid</v>
      </c>
      <c r="L117" t="str">
        <f>IF(B117="","Missing Product ID",IF(COUNTIF(Product_Master!A:A,B117)&gt;0,"Found","Not Found"))</f>
        <v>Found</v>
      </c>
      <c r="M117" t="str">
        <f t="shared" si="10"/>
        <v>Valid Date</v>
      </c>
      <c r="N117" t="str">
        <f t="shared" si="11"/>
        <v>Good</v>
      </c>
    </row>
    <row r="118" spans="1:14" x14ac:dyDescent="0.45">
      <c r="A118" t="s">
        <v>329</v>
      </c>
      <c r="B118" t="s">
        <v>117</v>
      </c>
      <c r="C118" s="5">
        <v>46371</v>
      </c>
      <c r="D118">
        <v>1000</v>
      </c>
      <c r="E118">
        <v>7</v>
      </c>
      <c r="F118">
        <v>150</v>
      </c>
      <c r="G118" t="str">
        <f>IF(B118="","Missing Product ID","Present")</f>
        <v>Present</v>
      </c>
      <c r="H118" t="str">
        <f t="shared" si="6"/>
        <v>Unique</v>
      </c>
      <c r="I118" t="str">
        <f t="shared" si="7"/>
        <v>Valid</v>
      </c>
      <c r="J118" t="str">
        <f t="shared" si="8"/>
        <v>Valid</v>
      </c>
      <c r="K118" t="str">
        <f t="shared" si="9"/>
        <v>Valid</v>
      </c>
      <c r="L118" t="str">
        <f>IF(B118="","Missing Product ID",IF(COUNTIF(Product_Master!A:A,B118)&gt;0,"Found","Not Found"))</f>
        <v>Found</v>
      </c>
      <c r="M118" t="str">
        <f t="shared" si="10"/>
        <v>Valid Date</v>
      </c>
      <c r="N118" t="str">
        <f t="shared" si="11"/>
        <v>Good</v>
      </c>
    </row>
    <row r="119" spans="1:14" x14ac:dyDescent="0.45">
      <c r="A119" t="s">
        <v>330</v>
      </c>
      <c r="B119" t="s">
        <v>77</v>
      </c>
      <c r="C119" s="5">
        <v>46077</v>
      </c>
      <c r="D119">
        <v>300</v>
      </c>
      <c r="E119">
        <v>6</v>
      </c>
      <c r="F119">
        <v>100</v>
      </c>
      <c r="G119" t="str">
        <f>IF(B119="","Missing Product ID","Present")</f>
        <v>Present</v>
      </c>
      <c r="H119" t="str">
        <f t="shared" si="6"/>
        <v>Unique</v>
      </c>
      <c r="I119" t="str">
        <f t="shared" si="7"/>
        <v>Valid</v>
      </c>
      <c r="J119" t="str">
        <f t="shared" si="8"/>
        <v>Valid</v>
      </c>
      <c r="K119" t="str">
        <f t="shared" si="9"/>
        <v>Valid</v>
      </c>
      <c r="L119" t="str">
        <f>IF(B119="","Missing Product ID",IF(COUNTIF(Product_Master!A:A,B119)&gt;0,"Found","Not Found"))</f>
        <v>Found</v>
      </c>
      <c r="M119" t="str">
        <f t="shared" si="10"/>
        <v>Valid Date</v>
      </c>
      <c r="N119" t="str">
        <f t="shared" si="11"/>
        <v>Good</v>
      </c>
    </row>
    <row r="120" spans="1:14" x14ac:dyDescent="0.45">
      <c r="A120" t="s">
        <v>331</v>
      </c>
      <c r="B120" t="s">
        <v>57</v>
      </c>
      <c r="C120" s="5">
        <v>46362</v>
      </c>
      <c r="D120">
        <v>400</v>
      </c>
      <c r="E120">
        <v>3</v>
      </c>
      <c r="F120">
        <v>250</v>
      </c>
      <c r="G120" t="str">
        <f>IF(B120="","Missing Product ID","Present")</f>
        <v>Present</v>
      </c>
      <c r="H120" t="str">
        <f t="shared" si="6"/>
        <v>Unique</v>
      </c>
      <c r="I120" t="str">
        <f t="shared" si="7"/>
        <v>Valid</v>
      </c>
      <c r="J120" t="str">
        <f t="shared" si="8"/>
        <v>Valid</v>
      </c>
      <c r="K120" t="str">
        <f t="shared" si="9"/>
        <v>Valid</v>
      </c>
      <c r="L120" t="str">
        <f>IF(B120="","Missing Product ID",IF(COUNTIF(Product_Master!A:A,B120)&gt;0,"Found","Not Found"))</f>
        <v>Found</v>
      </c>
      <c r="M120" t="str">
        <f t="shared" si="10"/>
        <v>Valid Date</v>
      </c>
      <c r="N120" t="str">
        <f t="shared" si="11"/>
        <v>Good</v>
      </c>
    </row>
    <row r="121" spans="1:14" x14ac:dyDescent="0.45">
      <c r="A121" t="s">
        <v>332</v>
      </c>
      <c r="B121" t="s">
        <v>57</v>
      </c>
      <c r="C121" s="5">
        <v>46375</v>
      </c>
      <c r="D121">
        <v>250</v>
      </c>
      <c r="E121">
        <v>9</v>
      </c>
      <c r="F121">
        <v>150</v>
      </c>
      <c r="G121" t="str">
        <f>IF(B121="","Missing Product ID","Present")</f>
        <v>Present</v>
      </c>
      <c r="H121" t="str">
        <f t="shared" si="6"/>
        <v>Unique</v>
      </c>
      <c r="I121" t="str">
        <f t="shared" si="7"/>
        <v>Valid</v>
      </c>
      <c r="J121" t="str">
        <f t="shared" si="8"/>
        <v>Valid</v>
      </c>
      <c r="K121" t="str">
        <f t="shared" si="9"/>
        <v>Valid</v>
      </c>
      <c r="L121" t="str">
        <f>IF(B121="","Missing Product ID",IF(COUNTIF(Product_Master!A:A,B121)&gt;0,"Found","Not Found"))</f>
        <v>Found</v>
      </c>
      <c r="M121" t="str">
        <f t="shared" si="10"/>
        <v>Valid Date</v>
      </c>
      <c r="N121" t="str">
        <f t="shared" si="11"/>
        <v>Good</v>
      </c>
    </row>
    <row r="122" spans="1:14" x14ac:dyDescent="0.45">
      <c r="A122" t="s">
        <v>333</v>
      </c>
      <c r="B122" t="s">
        <v>203</v>
      </c>
      <c r="C122" s="5">
        <v>46122</v>
      </c>
      <c r="D122">
        <v>1000</v>
      </c>
      <c r="E122">
        <v>6</v>
      </c>
      <c r="F122">
        <v>50</v>
      </c>
      <c r="G122" t="str">
        <f>IF(B122="","Missing Product ID","Present")</f>
        <v>Present</v>
      </c>
      <c r="H122" t="str">
        <f t="shared" si="6"/>
        <v>Unique</v>
      </c>
      <c r="I122" t="str">
        <f t="shared" si="7"/>
        <v>Valid</v>
      </c>
      <c r="J122" t="str">
        <f t="shared" si="8"/>
        <v>Valid</v>
      </c>
      <c r="K122" t="str">
        <f t="shared" si="9"/>
        <v>Valid</v>
      </c>
      <c r="L122" t="str">
        <f>IF(B122="","Missing Product ID",IF(COUNTIF(Product_Master!A:A,B122)&gt;0,"Found","Not Found"))</f>
        <v>Found</v>
      </c>
      <c r="M122" t="str">
        <f t="shared" si="10"/>
        <v>Valid Date</v>
      </c>
      <c r="N122" t="str">
        <f t="shared" si="11"/>
        <v>Good</v>
      </c>
    </row>
    <row r="123" spans="1:14" x14ac:dyDescent="0.45">
      <c r="A123" t="s">
        <v>334</v>
      </c>
      <c r="B123" t="s">
        <v>67</v>
      </c>
      <c r="C123" s="5">
        <v>46045</v>
      </c>
      <c r="D123">
        <v>400</v>
      </c>
      <c r="E123">
        <v>4</v>
      </c>
      <c r="F123">
        <v>150</v>
      </c>
      <c r="G123" t="str">
        <f>IF(B123="","Missing Product ID","Present")</f>
        <v>Present</v>
      </c>
      <c r="H123" t="str">
        <f t="shared" si="6"/>
        <v>Unique</v>
      </c>
      <c r="I123" t="str">
        <f t="shared" si="7"/>
        <v>Valid</v>
      </c>
      <c r="J123" t="str">
        <f t="shared" si="8"/>
        <v>Valid</v>
      </c>
      <c r="K123" t="str">
        <f t="shared" si="9"/>
        <v>Valid</v>
      </c>
      <c r="L123" t="str">
        <f>IF(B123="","Missing Product ID",IF(COUNTIF(Product_Master!A:A,B123)&gt;0,"Found","Not Found"))</f>
        <v>Found</v>
      </c>
      <c r="M123" t="str">
        <f t="shared" si="10"/>
        <v>Valid Date</v>
      </c>
      <c r="N123" t="str">
        <f t="shared" si="11"/>
        <v>Good</v>
      </c>
    </row>
    <row r="124" spans="1:14" x14ac:dyDescent="0.45">
      <c r="A124" t="s">
        <v>335</v>
      </c>
      <c r="B124" t="s">
        <v>145</v>
      </c>
      <c r="C124" s="5">
        <v>46040</v>
      </c>
      <c r="D124">
        <v>200</v>
      </c>
      <c r="E124">
        <v>6</v>
      </c>
      <c r="F124">
        <v>50</v>
      </c>
      <c r="G124" t="str">
        <f>IF(B124="","Missing Product ID","Present")</f>
        <v>Present</v>
      </c>
      <c r="H124" t="str">
        <f t="shared" si="6"/>
        <v>Unique</v>
      </c>
      <c r="I124" t="str">
        <f t="shared" si="7"/>
        <v>Valid</v>
      </c>
      <c r="J124" t="str">
        <f t="shared" si="8"/>
        <v>Valid</v>
      </c>
      <c r="K124" t="str">
        <f t="shared" si="9"/>
        <v>Valid</v>
      </c>
      <c r="L124" t="str">
        <f>IF(B124="","Missing Product ID",IF(COUNTIF(Product_Master!A:A,B124)&gt;0,"Found","Not Found"))</f>
        <v>Found</v>
      </c>
      <c r="M124" t="str">
        <f t="shared" si="10"/>
        <v>Valid Date</v>
      </c>
      <c r="N124" t="str">
        <f t="shared" si="11"/>
        <v>Good</v>
      </c>
    </row>
    <row r="125" spans="1:14" x14ac:dyDescent="0.45">
      <c r="A125" t="s">
        <v>336</v>
      </c>
      <c r="B125" t="s">
        <v>83</v>
      </c>
      <c r="C125" s="5">
        <v>46041</v>
      </c>
      <c r="D125">
        <v>200</v>
      </c>
      <c r="E125">
        <v>9</v>
      </c>
      <c r="F125">
        <v>50</v>
      </c>
      <c r="G125" t="str">
        <f>IF(B125="","Missing Product ID","Present")</f>
        <v>Present</v>
      </c>
      <c r="H125" t="str">
        <f t="shared" si="6"/>
        <v>Unique</v>
      </c>
      <c r="I125" t="str">
        <f t="shared" si="7"/>
        <v>Valid</v>
      </c>
      <c r="J125" t="str">
        <f t="shared" si="8"/>
        <v>Valid</v>
      </c>
      <c r="K125" t="str">
        <f t="shared" si="9"/>
        <v>Valid</v>
      </c>
      <c r="L125" t="str">
        <f>IF(B125="","Missing Product ID",IF(COUNTIF(Product_Master!A:A,B125)&gt;0,"Found","Not Found"))</f>
        <v>Found</v>
      </c>
      <c r="M125" t="str">
        <f t="shared" si="10"/>
        <v>Valid Date</v>
      </c>
      <c r="N125" t="str">
        <f t="shared" si="11"/>
        <v>Good</v>
      </c>
    </row>
    <row r="126" spans="1:14" x14ac:dyDescent="0.45">
      <c r="A126" t="s">
        <v>337</v>
      </c>
      <c r="B126" t="s">
        <v>81</v>
      </c>
      <c r="C126" s="5">
        <v>46179</v>
      </c>
      <c r="D126">
        <v>750</v>
      </c>
      <c r="E126">
        <v>9</v>
      </c>
      <c r="F126">
        <v>200</v>
      </c>
      <c r="G126" t="str">
        <f>IF(B126="","Missing Product ID","Present")</f>
        <v>Present</v>
      </c>
      <c r="H126" t="str">
        <f t="shared" si="6"/>
        <v>Unique</v>
      </c>
      <c r="I126" t="str">
        <f t="shared" si="7"/>
        <v>Valid</v>
      </c>
      <c r="J126" t="str">
        <f t="shared" si="8"/>
        <v>Valid</v>
      </c>
      <c r="K126" t="str">
        <f t="shared" si="9"/>
        <v>Valid</v>
      </c>
      <c r="L126" t="str">
        <f>IF(B126="","Missing Product ID",IF(COUNTIF(Product_Master!A:A,B126)&gt;0,"Found","Not Found"))</f>
        <v>Found</v>
      </c>
      <c r="M126" t="str">
        <f t="shared" si="10"/>
        <v>Valid Date</v>
      </c>
      <c r="N126" t="str">
        <f t="shared" si="11"/>
        <v>Good</v>
      </c>
    </row>
    <row r="127" spans="1:14" x14ac:dyDescent="0.45">
      <c r="A127" t="s">
        <v>338</v>
      </c>
      <c r="B127" t="s">
        <v>21</v>
      </c>
      <c r="C127" s="5">
        <v>46066</v>
      </c>
      <c r="D127">
        <v>300</v>
      </c>
      <c r="E127">
        <v>9</v>
      </c>
      <c r="F127">
        <v>50</v>
      </c>
      <c r="G127" t="str">
        <f>IF(B127="","Missing Product ID","Present")</f>
        <v>Present</v>
      </c>
      <c r="H127" t="str">
        <f t="shared" si="6"/>
        <v>Unique</v>
      </c>
      <c r="I127" t="str">
        <f t="shared" si="7"/>
        <v>Valid</v>
      </c>
      <c r="J127" t="str">
        <f t="shared" si="8"/>
        <v>Valid</v>
      </c>
      <c r="K127" t="str">
        <f t="shared" si="9"/>
        <v>Valid</v>
      </c>
      <c r="L127" t="str">
        <f>IF(B127="","Missing Product ID",IF(COUNTIF(Product_Master!A:A,B127)&gt;0,"Found","Not Found"))</f>
        <v>Found</v>
      </c>
      <c r="M127" t="str">
        <f t="shared" si="10"/>
        <v>Valid Date</v>
      </c>
      <c r="N127" t="str">
        <f t="shared" si="11"/>
        <v>Good</v>
      </c>
    </row>
    <row r="128" spans="1:14" x14ac:dyDescent="0.45">
      <c r="A128" t="s">
        <v>339</v>
      </c>
      <c r="B128" t="s">
        <v>133</v>
      </c>
      <c r="C128" s="5">
        <v>46107</v>
      </c>
      <c r="D128">
        <v>150</v>
      </c>
      <c r="E128">
        <v>2</v>
      </c>
      <c r="F128">
        <v>100</v>
      </c>
      <c r="G128" t="str">
        <f>IF(B128="","Missing Product ID","Present")</f>
        <v>Present</v>
      </c>
      <c r="H128" t="str">
        <f t="shared" si="6"/>
        <v>Unique</v>
      </c>
      <c r="I128" t="str">
        <f t="shared" si="7"/>
        <v>Valid</v>
      </c>
      <c r="J128" t="str">
        <f t="shared" si="8"/>
        <v>Valid</v>
      </c>
      <c r="K128" t="str">
        <f t="shared" si="9"/>
        <v>Valid</v>
      </c>
      <c r="L128" t="str">
        <f>IF(B128="","Missing Product ID",IF(COUNTIF(Product_Master!A:A,B128)&gt;0,"Found","Not Found"))</f>
        <v>Found</v>
      </c>
      <c r="M128" t="str">
        <f t="shared" si="10"/>
        <v>Valid Date</v>
      </c>
      <c r="N128" t="str">
        <f t="shared" si="11"/>
        <v>Good</v>
      </c>
    </row>
    <row r="129" spans="1:14" x14ac:dyDescent="0.45">
      <c r="A129" t="s">
        <v>340</v>
      </c>
      <c r="B129" t="s">
        <v>153</v>
      </c>
      <c r="C129" s="5">
        <v>46071</v>
      </c>
      <c r="D129">
        <v>300</v>
      </c>
      <c r="E129">
        <v>3</v>
      </c>
      <c r="F129">
        <v>100</v>
      </c>
      <c r="G129" t="str">
        <f>IF(B129="","Missing Product ID","Present")</f>
        <v>Present</v>
      </c>
      <c r="H129" t="str">
        <f t="shared" si="6"/>
        <v>Unique</v>
      </c>
      <c r="I129" t="str">
        <f t="shared" si="7"/>
        <v>Valid</v>
      </c>
      <c r="J129" t="str">
        <f t="shared" si="8"/>
        <v>Valid</v>
      </c>
      <c r="K129" t="str">
        <f t="shared" si="9"/>
        <v>Valid</v>
      </c>
      <c r="L129" t="str">
        <f>IF(B129="","Missing Product ID",IF(COUNTIF(Product_Master!A:A,B129)&gt;0,"Found","Not Found"))</f>
        <v>Found</v>
      </c>
      <c r="M129" t="str">
        <f t="shared" si="10"/>
        <v>Valid Date</v>
      </c>
      <c r="N129" t="str">
        <f t="shared" si="11"/>
        <v>Good</v>
      </c>
    </row>
    <row r="130" spans="1:14" x14ac:dyDescent="0.45">
      <c r="A130" t="s">
        <v>341</v>
      </c>
      <c r="B130" t="s">
        <v>203</v>
      </c>
      <c r="C130" s="5">
        <v>46218</v>
      </c>
      <c r="D130">
        <v>500</v>
      </c>
      <c r="E130">
        <v>5</v>
      </c>
      <c r="F130">
        <v>250</v>
      </c>
      <c r="G130" t="str">
        <f>IF(B130="","Missing Product ID","Present")</f>
        <v>Present</v>
      </c>
      <c r="H130" t="str">
        <f t="shared" si="6"/>
        <v>Unique</v>
      </c>
      <c r="I130" t="str">
        <f t="shared" si="7"/>
        <v>Valid</v>
      </c>
      <c r="J130" t="str">
        <f t="shared" si="8"/>
        <v>Valid</v>
      </c>
      <c r="K130" t="str">
        <f t="shared" si="9"/>
        <v>Valid</v>
      </c>
      <c r="L130" t="str">
        <f>IF(B130="","Missing Product ID",IF(COUNTIF(Product_Master!A:A,B130)&gt;0,"Found","Not Found"))</f>
        <v>Found</v>
      </c>
      <c r="M130" t="str">
        <f t="shared" si="10"/>
        <v>Valid Date</v>
      </c>
      <c r="N130" t="str">
        <f t="shared" si="11"/>
        <v>Good</v>
      </c>
    </row>
    <row r="131" spans="1:14" x14ac:dyDescent="0.45">
      <c r="A131" t="s">
        <v>342</v>
      </c>
      <c r="B131" t="s">
        <v>121</v>
      </c>
      <c r="C131" s="5">
        <v>46315</v>
      </c>
      <c r="D131">
        <v>300</v>
      </c>
      <c r="E131">
        <v>8</v>
      </c>
      <c r="F131">
        <v>150</v>
      </c>
      <c r="G131" t="str">
        <f>IF(B131="","Missing Product ID","Present")</f>
        <v>Present</v>
      </c>
      <c r="H131" t="str">
        <f t="shared" ref="H131:H194" si="12">IF(COUNTIF(A:A,A131)&gt;1,"Duplicate","Unique")</f>
        <v>Unique</v>
      </c>
      <c r="I131" t="str">
        <f t="shared" ref="I131:I194" si="13">IF(D131="","Missing",IF(D131&lt;=0,"Invalid Quantity","Valid"))</f>
        <v>Valid</v>
      </c>
      <c r="J131" t="str">
        <f t="shared" ref="J131:J194" si="14">IF(E131="","Missing",IF(E131&lt;=0,"Invalid Lead Time","Valid"))</f>
        <v>Valid</v>
      </c>
      <c r="K131" t="str">
        <f t="shared" ref="K131:K194" si="15">IF(F131="","Missing",IF(F131&lt;=0,"Invalid","Valid"))</f>
        <v>Valid</v>
      </c>
      <c r="L131" t="str">
        <f>IF(B131="","Missing Product ID",IF(COUNTIF(Product_Master!A:A,B131)&gt;0,"Found","Not Found"))</f>
        <v>Found</v>
      </c>
      <c r="M131" t="str">
        <f t="shared" ref="M131:M194" si="16">IF(C131="","Missing Date",IF(ISNUMBER(C131),"Valid Date","Invalid Date"))</f>
        <v>Valid Date</v>
      </c>
      <c r="N131" t="str">
        <f t="shared" ref="N131:N194" si="17">IF(OR(H131="Duplicate",I131&lt;&gt;"Valid",J131&lt;&gt;"Valid",K131&lt;&gt;"Valid",L131&lt;&gt;"Found",M131&lt;&gt;"Valid Date"),"Needs Review","Good")</f>
        <v>Good</v>
      </c>
    </row>
    <row r="132" spans="1:14" x14ac:dyDescent="0.45">
      <c r="A132" t="s">
        <v>343</v>
      </c>
      <c r="B132" t="s">
        <v>23</v>
      </c>
      <c r="C132" s="5">
        <v>46164</v>
      </c>
      <c r="D132">
        <v>150</v>
      </c>
      <c r="E132">
        <v>5</v>
      </c>
      <c r="F132">
        <v>100</v>
      </c>
      <c r="G132" t="str">
        <f>IF(B132="","Missing Product ID","Present")</f>
        <v>Present</v>
      </c>
      <c r="H132" t="str">
        <f t="shared" si="12"/>
        <v>Unique</v>
      </c>
      <c r="I132" t="str">
        <f t="shared" si="13"/>
        <v>Valid</v>
      </c>
      <c r="J132" t="str">
        <f t="shared" si="14"/>
        <v>Valid</v>
      </c>
      <c r="K132" t="str">
        <f t="shared" si="15"/>
        <v>Valid</v>
      </c>
      <c r="L132" t="str">
        <f>IF(B132="","Missing Product ID",IF(COUNTIF(Product_Master!A:A,B132)&gt;0,"Found","Not Found"))</f>
        <v>Found</v>
      </c>
      <c r="M132" t="str">
        <f t="shared" si="16"/>
        <v>Valid Date</v>
      </c>
      <c r="N132" t="str">
        <f t="shared" si="17"/>
        <v>Good</v>
      </c>
    </row>
    <row r="133" spans="1:14" x14ac:dyDescent="0.45">
      <c r="A133" t="s">
        <v>344</v>
      </c>
      <c r="B133" t="s">
        <v>29</v>
      </c>
      <c r="C133" s="5">
        <v>46268</v>
      </c>
      <c r="D133">
        <v>200</v>
      </c>
      <c r="E133">
        <v>5</v>
      </c>
      <c r="F133">
        <v>100</v>
      </c>
      <c r="G133" t="str">
        <f>IF(B133="","Missing Product ID","Present")</f>
        <v>Present</v>
      </c>
      <c r="H133" t="str">
        <f t="shared" si="12"/>
        <v>Unique</v>
      </c>
      <c r="I133" t="str">
        <f t="shared" si="13"/>
        <v>Valid</v>
      </c>
      <c r="J133" t="str">
        <f t="shared" si="14"/>
        <v>Valid</v>
      </c>
      <c r="K133" t="str">
        <f t="shared" si="15"/>
        <v>Valid</v>
      </c>
      <c r="L133" t="str">
        <f>IF(B133="","Missing Product ID",IF(COUNTIF(Product_Master!A:A,B133)&gt;0,"Found","Not Found"))</f>
        <v>Found</v>
      </c>
      <c r="M133" t="str">
        <f t="shared" si="16"/>
        <v>Valid Date</v>
      </c>
      <c r="N133" t="str">
        <f t="shared" si="17"/>
        <v>Good</v>
      </c>
    </row>
    <row r="134" spans="1:14" x14ac:dyDescent="0.45">
      <c r="A134" t="s">
        <v>345</v>
      </c>
      <c r="B134" t="s">
        <v>49</v>
      </c>
      <c r="C134" s="5">
        <v>46376</v>
      </c>
      <c r="D134">
        <v>100</v>
      </c>
      <c r="E134">
        <v>8</v>
      </c>
      <c r="F134">
        <v>200</v>
      </c>
      <c r="G134" t="str">
        <f>IF(B134="","Missing Product ID","Present")</f>
        <v>Present</v>
      </c>
      <c r="H134" t="str">
        <f t="shared" si="12"/>
        <v>Unique</v>
      </c>
      <c r="I134" t="str">
        <f t="shared" si="13"/>
        <v>Valid</v>
      </c>
      <c r="J134" t="str">
        <f t="shared" si="14"/>
        <v>Valid</v>
      </c>
      <c r="K134" t="str">
        <f t="shared" si="15"/>
        <v>Valid</v>
      </c>
      <c r="L134" t="str">
        <f>IF(B134="","Missing Product ID",IF(COUNTIF(Product_Master!A:A,B134)&gt;0,"Found","Not Found"))</f>
        <v>Found</v>
      </c>
      <c r="M134" t="str">
        <f t="shared" si="16"/>
        <v>Valid Date</v>
      </c>
      <c r="N134" t="str">
        <f t="shared" si="17"/>
        <v>Good</v>
      </c>
    </row>
    <row r="135" spans="1:14" x14ac:dyDescent="0.45">
      <c r="A135" t="s">
        <v>346</v>
      </c>
      <c r="B135" t="s">
        <v>129</v>
      </c>
      <c r="C135" s="5">
        <v>46165</v>
      </c>
      <c r="D135">
        <v>300</v>
      </c>
      <c r="E135">
        <v>2</v>
      </c>
      <c r="F135">
        <v>100</v>
      </c>
      <c r="G135" t="str">
        <f>IF(B135="","Missing Product ID","Present")</f>
        <v>Present</v>
      </c>
      <c r="H135" t="str">
        <f t="shared" si="12"/>
        <v>Unique</v>
      </c>
      <c r="I135" t="str">
        <f t="shared" si="13"/>
        <v>Valid</v>
      </c>
      <c r="J135" t="str">
        <f t="shared" si="14"/>
        <v>Valid</v>
      </c>
      <c r="K135" t="str">
        <f t="shared" si="15"/>
        <v>Valid</v>
      </c>
      <c r="L135" t="str">
        <f>IF(B135="","Missing Product ID",IF(COUNTIF(Product_Master!A:A,B135)&gt;0,"Found","Not Found"))</f>
        <v>Found</v>
      </c>
      <c r="M135" t="str">
        <f t="shared" si="16"/>
        <v>Valid Date</v>
      </c>
      <c r="N135" t="str">
        <f t="shared" si="17"/>
        <v>Good</v>
      </c>
    </row>
    <row r="136" spans="1:14" x14ac:dyDescent="0.45">
      <c r="A136" t="s">
        <v>347</v>
      </c>
      <c r="B136" t="s">
        <v>81</v>
      </c>
      <c r="C136" s="5">
        <v>46168</v>
      </c>
      <c r="D136">
        <v>750</v>
      </c>
      <c r="E136">
        <v>3</v>
      </c>
      <c r="F136">
        <v>100</v>
      </c>
      <c r="G136" t="str">
        <f>IF(B136="","Missing Product ID","Present")</f>
        <v>Present</v>
      </c>
      <c r="H136" t="str">
        <f t="shared" si="12"/>
        <v>Unique</v>
      </c>
      <c r="I136" t="str">
        <f t="shared" si="13"/>
        <v>Valid</v>
      </c>
      <c r="J136" t="str">
        <f t="shared" si="14"/>
        <v>Valid</v>
      </c>
      <c r="K136" t="str">
        <f t="shared" si="15"/>
        <v>Valid</v>
      </c>
      <c r="L136" t="str">
        <f>IF(B136="","Missing Product ID",IF(COUNTIF(Product_Master!A:A,B136)&gt;0,"Found","Not Found"))</f>
        <v>Found</v>
      </c>
      <c r="M136" t="str">
        <f t="shared" si="16"/>
        <v>Valid Date</v>
      </c>
      <c r="N136" t="str">
        <f t="shared" si="17"/>
        <v>Good</v>
      </c>
    </row>
    <row r="137" spans="1:14" x14ac:dyDescent="0.45">
      <c r="A137" t="s">
        <v>348</v>
      </c>
      <c r="B137" t="s">
        <v>169</v>
      </c>
      <c r="C137" s="5">
        <v>46273</v>
      </c>
      <c r="D137">
        <v>250</v>
      </c>
      <c r="E137">
        <v>8</v>
      </c>
      <c r="F137">
        <v>50</v>
      </c>
      <c r="G137" t="str">
        <f>IF(B137="","Missing Product ID","Present")</f>
        <v>Present</v>
      </c>
      <c r="H137" t="str">
        <f t="shared" si="12"/>
        <v>Unique</v>
      </c>
      <c r="I137" t="str">
        <f t="shared" si="13"/>
        <v>Valid</v>
      </c>
      <c r="J137" t="str">
        <f t="shared" si="14"/>
        <v>Valid</v>
      </c>
      <c r="K137" t="str">
        <f t="shared" si="15"/>
        <v>Valid</v>
      </c>
      <c r="L137" t="str">
        <f>IF(B137="","Missing Product ID",IF(COUNTIF(Product_Master!A:A,B137)&gt;0,"Found","Not Found"))</f>
        <v>Found</v>
      </c>
      <c r="M137" t="str">
        <f t="shared" si="16"/>
        <v>Valid Date</v>
      </c>
      <c r="N137" t="str">
        <f t="shared" si="17"/>
        <v>Good</v>
      </c>
    </row>
    <row r="138" spans="1:14" x14ac:dyDescent="0.45">
      <c r="A138" t="s">
        <v>349</v>
      </c>
      <c r="B138" t="s">
        <v>173</v>
      </c>
      <c r="C138" s="5">
        <v>46055</v>
      </c>
      <c r="D138">
        <v>200</v>
      </c>
      <c r="E138">
        <v>6</v>
      </c>
      <c r="F138">
        <v>100</v>
      </c>
      <c r="G138" t="str">
        <f>IF(B138="","Missing Product ID","Present")</f>
        <v>Present</v>
      </c>
      <c r="H138" t="str">
        <f t="shared" si="12"/>
        <v>Unique</v>
      </c>
      <c r="I138" t="str">
        <f t="shared" si="13"/>
        <v>Valid</v>
      </c>
      <c r="J138" t="str">
        <f t="shared" si="14"/>
        <v>Valid</v>
      </c>
      <c r="K138" t="str">
        <f t="shared" si="15"/>
        <v>Valid</v>
      </c>
      <c r="L138" t="str">
        <f>IF(B138="","Missing Product ID",IF(COUNTIF(Product_Master!A:A,B138)&gt;0,"Found","Not Found"))</f>
        <v>Found</v>
      </c>
      <c r="M138" t="str">
        <f t="shared" si="16"/>
        <v>Valid Date</v>
      </c>
      <c r="N138" t="str">
        <f t="shared" si="17"/>
        <v>Good</v>
      </c>
    </row>
    <row r="139" spans="1:14" x14ac:dyDescent="0.45">
      <c r="A139" t="s">
        <v>350</v>
      </c>
      <c r="B139" t="s">
        <v>51</v>
      </c>
      <c r="C139" s="5">
        <v>46068</v>
      </c>
      <c r="D139">
        <v>300</v>
      </c>
      <c r="E139">
        <v>6</v>
      </c>
      <c r="F139">
        <v>200</v>
      </c>
      <c r="G139" t="str">
        <f>IF(B139="","Missing Product ID","Present")</f>
        <v>Present</v>
      </c>
      <c r="H139" t="str">
        <f t="shared" si="12"/>
        <v>Unique</v>
      </c>
      <c r="I139" t="str">
        <f t="shared" si="13"/>
        <v>Valid</v>
      </c>
      <c r="J139" t="str">
        <f t="shared" si="14"/>
        <v>Valid</v>
      </c>
      <c r="K139" t="str">
        <f t="shared" si="15"/>
        <v>Valid</v>
      </c>
      <c r="L139" t="str">
        <f>IF(B139="","Missing Product ID",IF(COUNTIF(Product_Master!A:A,B139)&gt;0,"Found","Not Found"))</f>
        <v>Found</v>
      </c>
      <c r="M139" t="str">
        <f t="shared" si="16"/>
        <v>Valid Date</v>
      </c>
      <c r="N139" t="str">
        <f t="shared" si="17"/>
        <v>Good</v>
      </c>
    </row>
    <row r="140" spans="1:14" x14ac:dyDescent="0.45">
      <c r="A140" t="s">
        <v>351</v>
      </c>
      <c r="B140" t="s">
        <v>185</v>
      </c>
      <c r="C140" s="5">
        <v>46283</v>
      </c>
      <c r="D140">
        <v>300</v>
      </c>
      <c r="E140">
        <v>8</v>
      </c>
      <c r="F140">
        <v>150</v>
      </c>
      <c r="G140" t="str">
        <f>IF(B140="","Missing Product ID","Present")</f>
        <v>Present</v>
      </c>
      <c r="H140" t="str">
        <f t="shared" si="12"/>
        <v>Unique</v>
      </c>
      <c r="I140" t="str">
        <f t="shared" si="13"/>
        <v>Valid</v>
      </c>
      <c r="J140" t="str">
        <f t="shared" si="14"/>
        <v>Valid</v>
      </c>
      <c r="K140" t="str">
        <f t="shared" si="15"/>
        <v>Valid</v>
      </c>
      <c r="L140" t="str">
        <f>IF(B140="","Missing Product ID",IF(COUNTIF(Product_Master!A:A,B140)&gt;0,"Found","Not Found"))</f>
        <v>Found</v>
      </c>
      <c r="M140" t="str">
        <f t="shared" si="16"/>
        <v>Valid Date</v>
      </c>
      <c r="N140" t="str">
        <f t="shared" si="17"/>
        <v>Good</v>
      </c>
    </row>
    <row r="141" spans="1:14" x14ac:dyDescent="0.45">
      <c r="A141" t="s">
        <v>352</v>
      </c>
      <c r="B141" t="s">
        <v>135</v>
      </c>
      <c r="C141" s="5">
        <v>46036</v>
      </c>
      <c r="D141">
        <v>750</v>
      </c>
      <c r="E141">
        <v>3</v>
      </c>
      <c r="F141">
        <v>250</v>
      </c>
      <c r="G141" t="str">
        <f>IF(B141="","Missing Product ID","Present")</f>
        <v>Present</v>
      </c>
      <c r="H141" t="str">
        <f t="shared" si="12"/>
        <v>Unique</v>
      </c>
      <c r="I141" t="str">
        <f t="shared" si="13"/>
        <v>Valid</v>
      </c>
      <c r="J141" t="str">
        <f t="shared" si="14"/>
        <v>Valid</v>
      </c>
      <c r="K141" t="str">
        <f t="shared" si="15"/>
        <v>Valid</v>
      </c>
      <c r="L141" t="str">
        <f>IF(B141="","Missing Product ID",IF(COUNTIF(Product_Master!A:A,B141)&gt;0,"Found","Not Found"))</f>
        <v>Found</v>
      </c>
      <c r="M141" t="str">
        <f t="shared" si="16"/>
        <v>Valid Date</v>
      </c>
      <c r="N141" t="str">
        <f t="shared" si="17"/>
        <v>Good</v>
      </c>
    </row>
    <row r="142" spans="1:14" x14ac:dyDescent="0.45">
      <c r="A142" t="s">
        <v>353</v>
      </c>
      <c r="B142" t="s">
        <v>197</v>
      </c>
      <c r="C142" s="5">
        <v>46061</v>
      </c>
      <c r="D142">
        <v>400</v>
      </c>
      <c r="E142">
        <v>6</v>
      </c>
      <c r="F142">
        <v>50</v>
      </c>
      <c r="G142" t="str">
        <f>IF(B142="","Missing Product ID","Present")</f>
        <v>Present</v>
      </c>
      <c r="H142" t="str">
        <f t="shared" si="12"/>
        <v>Unique</v>
      </c>
      <c r="I142" t="str">
        <f t="shared" si="13"/>
        <v>Valid</v>
      </c>
      <c r="J142" t="str">
        <f t="shared" si="14"/>
        <v>Valid</v>
      </c>
      <c r="K142" t="str">
        <f t="shared" si="15"/>
        <v>Valid</v>
      </c>
      <c r="L142" t="str">
        <f>IF(B142="","Missing Product ID",IF(COUNTIF(Product_Master!A:A,B142)&gt;0,"Found","Not Found"))</f>
        <v>Found</v>
      </c>
      <c r="M142" t="str">
        <f t="shared" si="16"/>
        <v>Valid Date</v>
      </c>
      <c r="N142" t="str">
        <f t="shared" si="17"/>
        <v>Good</v>
      </c>
    </row>
    <row r="143" spans="1:14" x14ac:dyDescent="0.45">
      <c r="A143" t="s">
        <v>354</v>
      </c>
      <c r="B143" t="s">
        <v>181</v>
      </c>
      <c r="C143" s="5">
        <v>46047</v>
      </c>
      <c r="D143">
        <v>100</v>
      </c>
      <c r="E143">
        <v>6</v>
      </c>
      <c r="F143">
        <v>250</v>
      </c>
      <c r="G143" t="str">
        <f>IF(B143="","Missing Product ID","Present")</f>
        <v>Present</v>
      </c>
      <c r="H143" t="str">
        <f t="shared" si="12"/>
        <v>Unique</v>
      </c>
      <c r="I143" t="str">
        <f t="shared" si="13"/>
        <v>Valid</v>
      </c>
      <c r="J143" t="str">
        <f t="shared" si="14"/>
        <v>Valid</v>
      </c>
      <c r="K143" t="str">
        <f t="shared" si="15"/>
        <v>Valid</v>
      </c>
      <c r="L143" t="str">
        <f>IF(B143="","Missing Product ID",IF(COUNTIF(Product_Master!A:A,B143)&gt;0,"Found","Not Found"))</f>
        <v>Found</v>
      </c>
      <c r="M143" t="str">
        <f t="shared" si="16"/>
        <v>Valid Date</v>
      </c>
      <c r="N143" t="str">
        <f t="shared" si="17"/>
        <v>Good</v>
      </c>
    </row>
    <row r="144" spans="1:14" x14ac:dyDescent="0.45">
      <c r="A144" t="s">
        <v>355</v>
      </c>
      <c r="B144" t="s">
        <v>201</v>
      </c>
      <c r="C144" s="5">
        <v>46341</v>
      </c>
      <c r="D144">
        <v>200</v>
      </c>
      <c r="E144">
        <v>9</v>
      </c>
      <c r="F144">
        <v>250</v>
      </c>
      <c r="G144" t="str">
        <f>IF(B144="","Missing Product ID","Present")</f>
        <v>Present</v>
      </c>
      <c r="H144" t="str">
        <f t="shared" si="12"/>
        <v>Unique</v>
      </c>
      <c r="I144" t="str">
        <f t="shared" si="13"/>
        <v>Valid</v>
      </c>
      <c r="J144" t="str">
        <f t="shared" si="14"/>
        <v>Valid</v>
      </c>
      <c r="K144" t="str">
        <f t="shared" si="15"/>
        <v>Valid</v>
      </c>
      <c r="L144" t="str">
        <f>IF(B144="","Missing Product ID",IF(COUNTIF(Product_Master!A:A,B144)&gt;0,"Found","Not Found"))</f>
        <v>Found</v>
      </c>
      <c r="M144" t="str">
        <f t="shared" si="16"/>
        <v>Valid Date</v>
      </c>
      <c r="N144" t="str">
        <f t="shared" si="17"/>
        <v>Good</v>
      </c>
    </row>
    <row r="145" spans="1:14" x14ac:dyDescent="0.45">
      <c r="A145" t="s">
        <v>356</v>
      </c>
      <c r="B145" t="s">
        <v>79</v>
      </c>
      <c r="C145" s="5">
        <v>46069</v>
      </c>
      <c r="D145">
        <v>200</v>
      </c>
      <c r="E145">
        <v>8</v>
      </c>
      <c r="F145">
        <v>200</v>
      </c>
      <c r="G145" t="str">
        <f>IF(B145="","Missing Product ID","Present")</f>
        <v>Present</v>
      </c>
      <c r="H145" t="str">
        <f t="shared" si="12"/>
        <v>Unique</v>
      </c>
      <c r="I145" t="str">
        <f t="shared" si="13"/>
        <v>Valid</v>
      </c>
      <c r="J145" t="str">
        <f t="shared" si="14"/>
        <v>Valid</v>
      </c>
      <c r="K145" t="str">
        <f t="shared" si="15"/>
        <v>Valid</v>
      </c>
      <c r="L145" t="str">
        <f>IF(B145="","Missing Product ID",IF(COUNTIF(Product_Master!A:A,B145)&gt;0,"Found","Not Found"))</f>
        <v>Found</v>
      </c>
      <c r="M145" t="str">
        <f t="shared" si="16"/>
        <v>Valid Date</v>
      </c>
      <c r="N145" t="str">
        <f t="shared" si="17"/>
        <v>Good</v>
      </c>
    </row>
    <row r="146" spans="1:14" x14ac:dyDescent="0.45">
      <c r="A146" t="s">
        <v>357</v>
      </c>
      <c r="B146" t="s">
        <v>97</v>
      </c>
      <c r="C146" s="5">
        <v>46330</v>
      </c>
      <c r="D146">
        <v>500</v>
      </c>
      <c r="E146">
        <v>7</v>
      </c>
      <c r="F146">
        <v>150</v>
      </c>
      <c r="G146" t="str">
        <f>IF(B146="","Missing Product ID","Present")</f>
        <v>Present</v>
      </c>
      <c r="H146" t="str">
        <f t="shared" si="12"/>
        <v>Unique</v>
      </c>
      <c r="I146" t="str">
        <f t="shared" si="13"/>
        <v>Valid</v>
      </c>
      <c r="J146" t="str">
        <f t="shared" si="14"/>
        <v>Valid</v>
      </c>
      <c r="K146" t="str">
        <f t="shared" si="15"/>
        <v>Valid</v>
      </c>
      <c r="L146" t="str">
        <f>IF(B146="","Missing Product ID",IF(COUNTIF(Product_Master!A:A,B146)&gt;0,"Found","Not Found"))</f>
        <v>Found</v>
      </c>
      <c r="M146" t="str">
        <f t="shared" si="16"/>
        <v>Valid Date</v>
      </c>
      <c r="N146" t="str">
        <f t="shared" si="17"/>
        <v>Good</v>
      </c>
    </row>
    <row r="147" spans="1:14" x14ac:dyDescent="0.45">
      <c r="A147" t="s">
        <v>358</v>
      </c>
      <c r="B147" t="s">
        <v>49</v>
      </c>
      <c r="C147" s="5" t="s">
        <v>359</v>
      </c>
      <c r="D147">
        <v>400</v>
      </c>
      <c r="E147">
        <v>8</v>
      </c>
      <c r="F147">
        <v>200</v>
      </c>
      <c r="G147" t="str">
        <f>IF(B147="","Missing Product ID","Present")</f>
        <v>Present</v>
      </c>
      <c r="H147" t="str">
        <f t="shared" si="12"/>
        <v>Unique</v>
      </c>
      <c r="I147" t="str">
        <f t="shared" si="13"/>
        <v>Valid</v>
      </c>
      <c r="J147" t="str">
        <f t="shared" si="14"/>
        <v>Valid</v>
      </c>
      <c r="K147" t="str">
        <f t="shared" si="15"/>
        <v>Valid</v>
      </c>
      <c r="L147" t="str">
        <f>IF(B147="","Missing Product ID",IF(COUNTIF(Product_Master!A:A,B147)&gt;0,"Found","Not Found"))</f>
        <v>Found</v>
      </c>
      <c r="M147" t="str">
        <f t="shared" si="16"/>
        <v>Invalid Date</v>
      </c>
      <c r="N147" t="str">
        <f t="shared" si="17"/>
        <v>Needs Review</v>
      </c>
    </row>
    <row r="148" spans="1:14" x14ac:dyDescent="0.45">
      <c r="A148" t="s">
        <v>360</v>
      </c>
      <c r="B148" t="s">
        <v>111</v>
      </c>
      <c r="C148" s="5">
        <v>46064</v>
      </c>
      <c r="D148">
        <v>1000</v>
      </c>
      <c r="E148">
        <v>2</v>
      </c>
      <c r="F148">
        <v>200</v>
      </c>
      <c r="G148" t="str">
        <f>IF(B148="","Missing Product ID","Present")</f>
        <v>Present</v>
      </c>
      <c r="H148" t="str">
        <f t="shared" si="12"/>
        <v>Unique</v>
      </c>
      <c r="I148" t="str">
        <f t="shared" si="13"/>
        <v>Valid</v>
      </c>
      <c r="J148" t="str">
        <f t="shared" si="14"/>
        <v>Valid</v>
      </c>
      <c r="K148" t="str">
        <f t="shared" si="15"/>
        <v>Valid</v>
      </c>
      <c r="L148" t="str">
        <f>IF(B148="","Missing Product ID",IF(COUNTIF(Product_Master!A:A,B148)&gt;0,"Found","Not Found"))</f>
        <v>Found</v>
      </c>
      <c r="M148" t="str">
        <f t="shared" si="16"/>
        <v>Valid Date</v>
      </c>
      <c r="N148" t="str">
        <f t="shared" si="17"/>
        <v>Good</v>
      </c>
    </row>
    <row r="149" spans="1:14" x14ac:dyDescent="0.45">
      <c r="A149" t="s">
        <v>361</v>
      </c>
      <c r="B149" t="s">
        <v>73</v>
      </c>
      <c r="C149" s="5">
        <v>46292</v>
      </c>
      <c r="D149">
        <v>400</v>
      </c>
      <c r="E149">
        <v>3</v>
      </c>
      <c r="F149">
        <v>200</v>
      </c>
      <c r="G149" t="str">
        <f>IF(B149="","Missing Product ID","Present")</f>
        <v>Present</v>
      </c>
      <c r="H149" t="str">
        <f t="shared" si="12"/>
        <v>Unique</v>
      </c>
      <c r="I149" t="str">
        <f t="shared" si="13"/>
        <v>Valid</v>
      </c>
      <c r="J149" t="str">
        <f t="shared" si="14"/>
        <v>Valid</v>
      </c>
      <c r="K149" t="str">
        <f t="shared" si="15"/>
        <v>Valid</v>
      </c>
      <c r="L149" t="str">
        <f>IF(B149="","Missing Product ID",IF(COUNTIF(Product_Master!A:A,B149)&gt;0,"Found","Not Found"))</f>
        <v>Found</v>
      </c>
      <c r="M149" t="str">
        <f t="shared" si="16"/>
        <v>Valid Date</v>
      </c>
      <c r="N149" t="str">
        <f t="shared" si="17"/>
        <v>Good</v>
      </c>
    </row>
    <row r="150" spans="1:14" x14ac:dyDescent="0.45">
      <c r="A150" t="s">
        <v>362</v>
      </c>
      <c r="B150" t="s">
        <v>4</v>
      </c>
      <c r="C150" s="5">
        <v>46029</v>
      </c>
      <c r="D150">
        <v>1000</v>
      </c>
      <c r="E150">
        <v>9</v>
      </c>
      <c r="F150">
        <v>200</v>
      </c>
      <c r="G150" t="str">
        <f>IF(B150="","Missing Product ID","Present")</f>
        <v>Present</v>
      </c>
      <c r="H150" t="str">
        <f t="shared" si="12"/>
        <v>Unique</v>
      </c>
      <c r="I150" t="str">
        <f t="shared" si="13"/>
        <v>Valid</v>
      </c>
      <c r="J150" t="str">
        <f t="shared" si="14"/>
        <v>Valid</v>
      </c>
      <c r="K150" t="str">
        <f t="shared" si="15"/>
        <v>Valid</v>
      </c>
      <c r="L150" t="str">
        <f>IF(B150="","Missing Product ID",IF(COUNTIF(Product_Master!A:A,B150)&gt;0,"Found","Not Found"))</f>
        <v>Found</v>
      </c>
      <c r="M150" t="str">
        <f t="shared" si="16"/>
        <v>Valid Date</v>
      </c>
      <c r="N150" t="str">
        <f t="shared" si="17"/>
        <v>Good</v>
      </c>
    </row>
    <row r="151" spans="1:14" x14ac:dyDescent="0.45">
      <c r="A151" t="s">
        <v>363</v>
      </c>
      <c r="B151" t="s">
        <v>141</v>
      </c>
      <c r="C151" s="5">
        <v>46029</v>
      </c>
      <c r="D151">
        <v>400</v>
      </c>
      <c r="E151">
        <v>9</v>
      </c>
      <c r="F151">
        <v>200</v>
      </c>
      <c r="G151" t="str">
        <f>IF(B151="","Missing Product ID","Present")</f>
        <v>Present</v>
      </c>
      <c r="H151" t="str">
        <f t="shared" si="12"/>
        <v>Unique</v>
      </c>
      <c r="I151" t="str">
        <f t="shared" si="13"/>
        <v>Valid</v>
      </c>
      <c r="J151" t="str">
        <f t="shared" si="14"/>
        <v>Valid</v>
      </c>
      <c r="K151" t="str">
        <f t="shared" si="15"/>
        <v>Valid</v>
      </c>
      <c r="L151" t="str">
        <f>IF(B151="","Missing Product ID",IF(COUNTIF(Product_Master!A:A,B151)&gt;0,"Found","Not Found"))</f>
        <v>Found</v>
      </c>
      <c r="M151" t="str">
        <f t="shared" si="16"/>
        <v>Valid Date</v>
      </c>
      <c r="N151" t="str">
        <f t="shared" si="17"/>
        <v>Good</v>
      </c>
    </row>
    <row r="152" spans="1:14" x14ac:dyDescent="0.45">
      <c r="A152" t="s">
        <v>364</v>
      </c>
      <c r="B152" t="s">
        <v>77</v>
      </c>
      <c r="C152" s="5">
        <v>46257</v>
      </c>
      <c r="D152">
        <v>1000</v>
      </c>
      <c r="E152">
        <v>4</v>
      </c>
      <c r="F152">
        <v>150</v>
      </c>
      <c r="G152" t="str">
        <f>IF(B152="","Missing Product ID","Present")</f>
        <v>Present</v>
      </c>
      <c r="H152" t="str">
        <f t="shared" si="12"/>
        <v>Unique</v>
      </c>
      <c r="I152" t="str">
        <f t="shared" si="13"/>
        <v>Valid</v>
      </c>
      <c r="J152" t="str">
        <f t="shared" si="14"/>
        <v>Valid</v>
      </c>
      <c r="K152" t="str">
        <f t="shared" si="15"/>
        <v>Valid</v>
      </c>
      <c r="L152" t="str">
        <f>IF(B152="","Missing Product ID",IF(COUNTIF(Product_Master!A:A,B152)&gt;0,"Found","Not Found"))</f>
        <v>Found</v>
      </c>
      <c r="M152" t="str">
        <f t="shared" si="16"/>
        <v>Valid Date</v>
      </c>
      <c r="N152" t="str">
        <f t="shared" si="17"/>
        <v>Good</v>
      </c>
    </row>
    <row r="153" spans="1:14" x14ac:dyDescent="0.45">
      <c r="A153" t="s">
        <v>365</v>
      </c>
      <c r="B153" t="s">
        <v>133</v>
      </c>
      <c r="C153" s="5">
        <v>46135</v>
      </c>
      <c r="D153">
        <v>150</v>
      </c>
      <c r="E153">
        <v>2</v>
      </c>
      <c r="F153">
        <v>250</v>
      </c>
      <c r="G153" t="str">
        <f>IF(B153="","Missing Product ID","Present")</f>
        <v>Present</v>
      </c>
      <c r="H153" t="str">
        <f t="shared" si="12"/>
        <v>Unique</v>
      </c>
      <c r="I153" t="str">
        <f t="shared" si="13"/>
        <v>Valid</v>
      </c>
      <c r="J153" t="str">
        <f t="shared" si="14"/>
        <v>Valid</v>
      </c>
      <c r="K153" t="str">
        <f t="shared" si="15"/>
        <v>Valid</v>
      </c>
      <c r="L153" t="str">
        <f>IF(B153="","Missing Product ID",IF(COUNTIF(Product_Master!A:A,B153)&gt;0,"Found","Not Found"))</f>
        <v>Found</v>
      </c>
      <c r="M153" t="str">
        <f t="shared" si="16"/>
        <v>Valid Date</v>
      </c>
      <c r="N153" t="str">
        <f t="shared" si="17"/>
        <v>Good</v>
      </c>
    </row>
    <row r="154" spans="1:14" x14ac:dyDescent="0.45">
      <c r="A154" t="s">
        <v>366</v>
      </c>
      <c r="B154" t="s">
        <v>49</v>
      </c>
      <c r="C154" s="5">
        <v>46279</v>
      </c>
      <c r="D154">
        <v>300</v>
      </c>
      <c r="E154">
        <v>10</v>
      </c>
      <c r="F154">
        <v>50</v>
      </c>
      <c r="G154" t="str">
        <f>IF(B154="","Missing Product ID","Present")</f>
        <v>Present</v>
      </c>
      <c r="H154" t="str">
        <f t="shared" si="12"/>
        <v>Unique</v>
      </c>
      <c r="I154" t="str">
        <f t="shared" si="13"/>
        <v>Valid</v>
      </c>
      <c r="J154" t="str">
        <f t="shared" si="14"/>
        <v>Valid</v>
      </c>
      <c r="K154" t="str">
        <f t="shared" si="15"/>
        <v>Valid</v>
      </c>
      <c r="L154" t="str">
        <f>IF(B154="","Missing Product ID",IF(COUNTIF(Product_Master!A:A,B154)&gt;0,"Found","Not Found"))</f>
        <v>Found</v>
      </c>
      <c r="M154" t="str">
        <f t="shared" si="16"/>
        <v>Valid Date</v>
      </c>
      <c r="N154" t="str">
        <f t="shared" si="17"/>
        <v>Good</v>
      </c>
    </row>
    <row r="155" spans="1:14" x14ac:dyDescent="0.45">
      <c r="A155" t="s">
        <v>367</v>
      </c>
      <c r="B155" t="s">
        <v>31</v>
      </c>
      <c r="C155" s="5">
        <v>46074</v>
      </c>
      <c r="D155">
        <v>250</v>
      </c>
      <c r="E155">
        <v>3</v>
      </c>
      <c r="F155">
        <v>200</v>
      </c>
      <c r="G155" t="str">
        <f>IF(B155="","Missing Product ID","Present")</f>
        <v>Present</v>
      </c>
      <c r="H155" t="str">
        <f t="shared" si="12"/>
        <v>Unique</v>
      </c>
      <c r="I155" t="str">
        <f t="shared" si="13"/>
        <v>Valid</v>
      </c>
      <c r="J155" t="str">
        <f t="shared" si="14"/>
        <v>Valid</v>
      </c>
      <c r="K155" t="str">
        <f t="shared" si="15"/>
        <v>Valid</v>
      </c>
      <c r="L155" t="str">
        <f>IF(B155="","Missing Product ID",IF(COUNTIF(Product_Master!A:A,B155)&gt;0,"Found","Not Found"))</f>
        <v>Found</v>
      </c>
      <c r="M155" t="str">
        <f t="shared" si="16"/>
        <v>Valid Date</v>
      </c>
      <c r="N155" t="str">
        <f t="shared" si="17"/>
        <v>Good</v>
      </c>
    </row>
    <row r="156" spans="1:14" x14ac:dyDescent="0.45">
      <c r="A156" t="s">
        <v>368</v>
      </c>
      <c r="B156" t="s">
        <v>47</v>
      </c>
      <c r="C156" s="5">
        <v>46365</v>
      </c>
      <c r="D156">
        <v>750</v>
      </c>
      <c r="E156">
        <v>6</v>
      </c>
      <c r="F156">
        <v>250</v>
      </c>
      <c r="G156" t="str">
        <f>IF(B156="","Missing Product ID","Present")</f>
        <v>Present</v>
      </c>
      <c r="H156" t="str">
        <f t="shared" si="12"/>
        <v>Unique</v>
      </c>
      <c r="I156" t="str">
        <f t="shared" si="13"/>
        <v>Valid</v>
      </c>
      <c r="J156" t="str">
        <f t="shared" si="14"/>
        <v>Valid</v>
      </c>
      <c r="K156" t="str">
        <f t="shared" si="15"/>
        <v>Valid</v>
      </c>
      <c r="L156" t="str">
        <f>IF(B156="","Missing Product ID",IF(COUNTIF(Product_Master!A:A,B156)&gt;0,"Found","Not Found"))</f>
        <v>Found</v>
      </c>
      <c r="M156" t="str">
        <f t="shared" si="16"/>
        <v>Valid Date</v>
      </c>
      <c r="N156" t="str">
        <f t="shared" si="17"/>
        <v>Good</v>
      </c>
    </row>
    <row r="157" spans="1:14" x14ac:dyDescent="0.45">
      <c r="A157" t="s">
        <v>369</v>
      </c>
      <c r="B157" t="s">
        <v>115</v>
      </c>
      <c r="C157" s="5">
        <v>46252</v>
      </c>
      <c r="D157">
        <v>750</v>
      </c>
      <c r="E157">
        <v>9</v>
      </c>
      <c r="F157">
        <v>100</v>
      </c>
      <c r="G157" t="str">
        <f>IF(B157="","Missing Product ID","Present")</f>
        <v>Present</v>
      </c>
      <c r="H157" t="str">
        <f t="shared" si="12"/>
        <v>Unique</v>
      </c>
      <c r="I157" t="str">
        <f t="shared" si="13"/>
        <v>Valid</v>
      </c>
      <c r="J157" t="str">
        <f t="shared" si="14"/>
        <v>Valid</v>
      </c>
      <c r="K157" t="str">
        <f t="shared" si="15"/>
        <v>Valid</v>
      </c>
      <c r="L157" t="str">
        <f>IF(B157="","Missing Product ID",IF(COUNTIF(Product_Master!A:A,B157)&gt;0,"Found","Not Found"))</f>
        <v>Found</v>
      </c>
      <c r="M157" t="str">
        <f t="shared" si="16"/>
        <v>Valid Date</v>
      </c>
      <c r="N157" t="str">
        <f t="shared" si="17"/>
        <v>Good</v>
      </c>
    </row>
    <row r="158" spans="1:14" x14ac:dyDescent="0.45">
      <c r="A158" t="s">
        <v>370</v>
      </c>
      <c r="B158" t="s">
        <v>45</v>
      </c>
      <c r="C158" s="5">
        <v>46289</v>
      </c>
      <c r="D158">
        <v>500</v>
      </c>
      <c r="E158">
        <v>5</v>
      </c>
      <c r="F158">
        <v>250</v>
      </c>
      <c r="G158" t="str">
        <f>IF(B158="","Missing Product ID","Present")</f>
        <v>Present</v>
      </c>
      <c r="H158" t="str">
        <f t="shared" si="12"/>
        <v>Unique</v>
      </c>
      <c r="I158" t="str">
        <f t="shared" si="13"/>
        <v>Valid</v>
      </c>
      <c r="J158" t="str">
        <f t="shared" si="14"/>
        <v>Valid</v>
      </c>
      <c r="K158" t="str">
        <f t="shared" si="15"/>
        <v>Valid</v>
      </c>
      <c r="L158" t="str">
        <f>IF(B158="","Missing Product ID",IF(COUNTIF(Product_Master!A:A,B158)&gt;0,"Found","Not Found"))</f>
        <v>Found</v>
      </c>
      <c r="M158" t="str">
        <f t="shared" si="16"/>
        <v>Valid Date</v>
      </c>
      <c r="N158" t="str">
        <f t="shared" si="17"/>
        <v>Good</v>
      </c>
    </row>
    <row r="159" spans="1:14" x14ac:dyDescent="0.45">
      <c r="A159" t="s">
        <v>371</v>
      </c>
      <c r="B159" t="s">
        <v>43</v>
      </c>
      <c r="C159" s="5">
        <v>46199</v>
      </c>
      <c r="D159">
        <v>150</v>
      </c>
      <c r="E159">
        <v>6</v>
      </c>
      <c r="F159">
        <v>200</v>
      </c>
      <c r="G159" t="str">
        <f>IF(B159="","Missing Product ID","Present")</f>
        <v>Present</v>
      </c>
      <c r="H159" t="str">
        <f t="shared" si="12"/>
        <v>Unique</v>
      </c>
      <c r="I159" t="str">
        <f t="shared" si="13"/>
        <v>Valid</v>
      </c>
      <c r="J159" t="str">
        <f t="shared" si="14"/>
        <v>Valid</v>
      </c>
      <c r="K159" t="str">
        <f t="shared" si="15"/>
        <v>Valid</v>
      </c>
      <c r="L159" t="str">
        <f>IF(B159="","Missing Product ID",IF(COUNTIF(Product_Master!A:A,B159)&gt;0,"Found","Not Found"))</f>
        <v>Found</v>
      </c>
      <c r="M159" t="str">
        <f t="shared" si="16"/>
        <v>Valid Date</v>
      </c>
      <c r="N159" t="str">
        <f t="shared" si="17"/>
        <v>Good</v>
      </c>
    </row>
    <row r="160" spans="1:14" x14ac:dyDescent="0.45">
      <c r="A160" t="s">
        <v>372</v>
      </c>
      <c r="B160" t="s">
        <v>137</v>
      </c>
      <c r="C160" s="5">
        <v>46366</v>
      </c>
      <c r="D160">
        <v>300</v>
      </c>
      <c r="E160">
        <v>2</v>
      </c>
      <c r="F160">
        <v>150</v>
      </c>
      <c r="G160" t="str">
        <f>IF(B160="","Missing Product ID","Present")</f>
        <v>Present</v>
      </c>
      <c r="H160" t="str">
        <f t="shared" si="12"/>
        <v>Unique</v>
      </c>
      <c r="I160" t="str">
        <f t="shared" si="13"/>
        <v>Valid</v>
      </c>
      <c r="J160" t="str">
        <f t="shared" si="14"/>
        <v>Valid</v>
      </c>
      <c r="K160" t="str">
        <f t="shared" si="15"/>
        <v>Valid</v>
      </c>
      <c r="L160" t="str">
        <f>IF(B160="","Missing Product ID",IF(COUNTIF(Product_Master!A:A,B160)&gt;0,"Found","Not Found"))</f>
        <v>Found</v>
      </c>
      <c r="M160" t="str">
        <f t="shared" si="16"/>
        <v>Valid Date</v>
      </c>
      <c r="N160" t="str">
        <f t="shared" si="17"/>
        <v>Good</v>
      </c>
    </row>
    <row r="161" spans="1:14" x14ac:dyDescent="0.45">
      <c r="A161" t="s">
        <v>373</v>
      </c>
      <c r="B161" t="s">
        <v>159</v>
      </c>
      <c r="C161" s="5">
        <v>46281</v>
      </c>
      <c r="D161">
        <v>750</v>
      </c>
      <c r="E161">
        <v>4</v>
      </c>
      <c r="F161">
        <v>200</v>
      </c>
      <c r="G161" t="str">
        <f>IF(B161="","Missing Product ID","Present")</f>
        <v>Present</v>
      </c>
      <c r="H161" t="str">
        <f t="shared" si="12"/>
        <v>Unique</v>
      </c>
      <c r="I161" t="str">
        <f t="shared" si="13"/>
        <v>Valid</v>
      </c>
      <c r="J161" t="str">
        <f t="shared" si="14"/>
        <v>Valid</v>
      </c>
      <c r="K161" t="str">
        <f t="shared" si="15"/>
        <v>Valid</v>
      </c>
      <c r="L161" t="str">
        <f>IF(B161="","Missing Product ID",IF(COUNTIF(Product_Master!A:A,B161)&gt;0,"Found","Not Found"))</f>
        <v>Found</v>
      </c>
      <c r="M161" t="str">
        <f t="shared" si="16"/>
        <v>Valid Date</v>
      </c>
      <c r="N161" t="str">
        <f t="shared" si="17"/>
        <v>Good</v>
      </c>
    </row>
    <row r="162" spans="1:14" x14ac:dyDescent="0.45">
      <c r="A162" t="s">
        <v>374</v>
      </c>
      <c r="B162" t="s">
        <v>97</v>
      </c>
      <c r="C162" s="5">
        <v>46218</v>
      </c>
      <c r="D162">
        <v>400</v>
      </c>
      <c r="E162">
        <v>10</v>
      </c>
      <c r="F162">
        <v>250</v>
      </c>
      <c r="G162" t="str">
        <f>IF(B162="","Missing Product ID","Present")</f>
        <v>Present</v>
      </c>
      <c r="H162" t="str">
        <f t="shared" si="12"/>
        <v>Unique</v>
      </c>
      <c r="I162" t="str">
        <f t="shared" si="13"/>
        <v>Valid</v>
      </c>
      <c r="J162" t="str">
        <f t="shared" si="14"/>
        <v>Valid</v>
      </c>
      <c r="K162" t="str">
        <f t="shared" si="15"/>
        <v>Valid</v>
      </c>
      <c r="L162" t="str">
        <f>IF(B162="","Missing Product ID",IF(COUNTIF(Product_Master!A:A,B162)&gt;0,"Found","Not Found"))</f>
        <v>Found</v>
      </c>
      <c r="M162" t="str">
        <f t="shared" si="16"/>
        <v>Valid Date</v>
      </c>
      <c r="N162" t="str">
        <f t="shared" si="17"/>
        <v>Good</v>
      </c>
    </row>
    <row r="163" spans="1:14" x14ac:dyDescent="0.45">
      <c r="A163" t="s">
        <v>375</v>
      </c>
      <c r="B163" t="s">
        <v>91</v>
      </c>
      <c r="C163" s="5">
        <v>46211</v>
      </c>
      <c r="D163">
        <v>250</v>
      </c>
      <c r="E163">
        <v>5</v>
      </c>
      <c r="F163">
        <v>250</v>
      </c>
      <c r="G163" t="str">
        <f>IF(B163="","Missing Product ID","Present")</f>
        <v>Present</v>
      </c>
      <c r="H163" t="str">
        <f t="shared" si="12"/>
        <v>Unique</v>
      </c>
      <c r="I163" t="str">
        <f t="shared" si="13"/>
        <v>Valid</v>
      </c>
      <c r="J163" t="str">
        <f t="shared" si="14"/>
        <v>Valid</v>
      </c>
      <c r="K163" t="str">
        <f t="shared" si="15"/>
        <v>Valid</v>
      </c>
      <c r="L163" t="str">
        <f>IF(B163="","Missing Product ID",IF(COUNTIF(Product_Master!A:A,B163)&gt;0,"Found","Not Found"))</f>
        <v>Found</v>
      </c>
      <c r="M163" t="str">
        <f t="shared" si="16"/>
        <v>Valid Date</v>
      </c>
      <c r="N163" t="str">
        <f t="shared" si="17"/>
        <v>Good</v>
      </c>
    </row>
    <row r="164" spans="1:14" x14ac:dyDescent="0.45">
      <c r="A164" t="s">
        <v>376</v>
      </c>
      <c r="B164" t="s">
        <v>207</v>
      </c>
      <c r="C164" s="5">
        <v>46372</v>
      </c>
      <c r="D164">
        <v>500</v>
      </c>
      <c r="E164">
        <v>2</v>
      </c>
      <c r="F164">
        <v>150</v>
      </c>
      <c r="G164" t="str">
        <f>IF(B164="","Missing Product ID","Present")</f>
        <v>Present</v>
      </c>
      <c r="H164" t="str">
        <f t="shared" si="12"/>
        <v>Unique</v>
      </c>
      <c r="I164" t="str">
        <f t="shared" si="13"/>
        <v>Valid</v>
      </c>
      <c r="J164" t="str">
        <f t="shared" si="14"/>
        <v>Valid</v>
      </c>
      <c r="K164" t="str">
        <f t="shared" si="15"/>
        <v>Valid</v>
      </c>
      <c r="L164" t="str">
        <f>IF(B164="","Missing Product ID",IF(COUNTIF(Product_Master!A:A,B164)&gt;0,"Found","Not Found"))</f>
        <v>Found</v>
      </c>
      <c r="M164" t="str">
        <f t="shared" si="16"/>
        <v>Valid Date</v>
      </c>
      <c r="N164" t="str">
        <f t="shared" si="17"/>
        <v>Good</v>
      </c>
    </row>
    <row r="165" spans="1:14" x14ac:dyDescent="0.45">
      <c r="A165" t="s">
        <v>377</v>
      </c>
      <c r="B165" t="s">
        <v>189</v>
      </c>
      <c r="C165" s="5">
        <v>46236</v>
      </c>
      <c r="D165">
        <v>500</v>
      </c>
      <c r="E165">
        <v>8</v>
      </c>
      <c r="F165">
        <v>100</v>
      </c>
      <c r="G165" t="str">
        <f>IF(B165="","Missing Product ID","Present")</f>
        <v>Present</v>
      </c>
      <c r="H165" t="str">
        <f t="shared" si="12"/>
        <v>Unique</v>
      </c>
      <c r="I165" t="str">
        <f t="shared" si="13"/>
        <v>Valid</v>
      </c>
      <c r="J165" t="str">
        <f t="shared" si="14"/>
        <v>Valid</v>
      </c>
      <c r="K165" t="str">
        <f t="shared" si="15"/>
        <v>Valid</v>
      </c>
      <c r="L165" t="str">
        <f>IF(B165="","Missing Product ID",IF(COUNTIF(Product_Master!A:A,B165)&gt;0,"Found","Not Found"))</f>
        <v>Found</v>
      </c>
      <c r="M165" t="str">
        <f t="shared" si="16"/>
        <v>Valid Date</v>
      </c>
      <c r="N165" t="str">
        <f t="shared" si="17"/>
        <v>Good</v>
      </c>
    </row>
    <row r="166" spans="1:14" x14ac:dyDescent="0.45">
      <c r="A166" t="s">
        <v>378</v>
      </c>
      <c r="B166" t="s">
        <v>41</v>
      </c>
      <c r="C166" s="5">
        <v>46238</v>
      </c>
      <c r="D166">
        <v>1000</v>
      </c>
      <c r="E166">
        <v>7</v>
      </c>
      <c r="F166">
        <v>50</v>
      </c>
      <c r="G166" t="str">
        <f>IF(B166="","Missing Product ID","Present")</f>
        <v>Present</v>
      </c>
      <c r="H166" t="str">
        <f t="shared" si="12"/>
        <v>Unique</v>
      </c>
      <c r="I166" t="str">
        <f t="shared" si="13"/>
        <v>Valid</v>
      </c>
      <c r="J166" t="str">
        <f t="shared" si="14"/>
        <v>Valid</v>
      </c>
      <c r="K166" t="str">
        <f t="shared" si="15"/>
        <v>Valid</v>
      </c>
      <c r="L166" t="str">
        <f>IF(B166="","Missing Product ID",IF(COUNTIF(Product_Master!A:A,B166)&gt;0,"Found","Not Found"))</f>
        <v>Found</v>
      </c>
      <c r="M166" t="str">
        <f t="shared" si="16"/>
        <v>Valid Date</v>
      </c>
      <c r="N166" t="str">
        <f t="shared" si="17"/>
        <v>Good</v>
      </c>
    </row>
    <row r="167" spans="1:14" x14ac:dyDescent="0.45">
      <c r="A167" t="s">
        <v>379</v>
      </c>
      <c r="B167" t="s">
        <v>143</v>
      </c>
      <c r="C167" s="5">
        <v>46231</v>
      </c>
      <c r="D167">
        <v>750</v>
      </c>
      <c r="E167">
        <v>2</v>
      </c>
      <c r="F167">
        <v>100</v>
      </c>
      <c r="G167" t="str">
        <f>IF(B167="","Missing Product ID","Present")</f>
        <v>Present</v>
      </c>
      <c r="H167" t="str">
        <f t="shared" si="12"/>
        <v>Unique</v>
      </c>
      <c r="I167" t="str">
        <f t="shared" si="13"/>
        <v>Valid</v>
      </c>
      <c r="J167" t="str">
        <f t="shared" si="14"/>
        <v>Valid</v>
      </c>
      <c r="K167" t="str">
        <f t="shared" si="15"/>
        <v>Valid</v>
      </c>
      <c r="L167" t="str">
        <f>IF(B167="","Missing Product ID",IF(COUNTIF(Product_Master!A:A,B167)&gt;0,"Found","Not Found"))</f>
        <v>Found</v>
      </c>
      <c r="M167" t="str">
        <f t="shared" si="16"/>
        <v>Valid Date</v>
      </c>
      <c r="N167" t="str">
        <f t="shared" si="17"/>
        <v>Good</v>
      </c>
    </row>
    <row r="168" spans="1:14" x14ac:dyDescent="0.45">
      <c r="A168" t="s">
        <v>380</v>
      </c>
      <c r="B168" t="s">
        <v>175</v>
      </c>
      <c r="C168" s="5">
        <v>46153</v>
      </c>
      <c r="D168">
        <v>200</v>
      </c>
      <c r="E168">
        <v>3</v>
      </c>
      <c r="F168">
        <v>200</v>
      </c>
      <c r="G168" t="str">
        <f>IF(B168="","Missing Product ID","Present")</f>
        <v>Present</v>
      </c>
      <c r="H168" t="str">
        <f t="shared" si="12"/>
        <v>Unique</v>
      </c>
      <c r="I168" t="str">
        <f t="shared" si="13"/>
        <v>Valid</v>
      </c>
      <c r="J168" t="str">
        <f t="shared" si="14"/>
        <v>Valid</v>
      </c>
      <c r="K168" t="str">
        <f t="shared" si="15"/>
        <v>Valid</v>
      </c>
      <c r="L168" t="str">
        <f>IF(B168="","Missing Product ID",IF(COUNTIF(Product_Master!A:A,B168)&gt;0,"Found","Not Found"))</f>
        <v>Found</v>
      </c>
      <c r="M168" t="str">
        <f t="shared" si="16"/>
        <v>Valid Date</v>
      </c>
      <c r="N168" t="str">
        <f t="shared" si="17"/>
        <v>Good</v>
      </c>
    </row>
    <row r="169" spans="1:14" x14ac:dyDescent="0.45">
      <c r="A169" t="s">
        <v>381</v>
      </c>
      <c r="B169" t="s">
        <v>167</v>
      </c>
      <c r="C169" s="5">
        <v>46354</v>
      </c>
      <c r="D169">
        <v>500</v>
      </c>
      <c r="E169">
        <v>3</v>
      </c>
      <c r="F169">
        <v>150</v>
      </c>
      <c r="G169" t="str">
        <f>IF(B169="","Missing Product ID","Present")</f>
        <v>Present</v>
      </c>
      <c r="H169" t="str">
        <f t="shared" si="12"/>
        <v>Unique</v>
      </c>
      <c r="I169" t="str">
        <f t="shared" si="13"/>
        <v>Valid</v>
      </c>
      <c r="J169" t="str">
        <f t="shared" si="14"/>
        <v>Valid</v>
      </c>
      <c r="K169" t="str">
        <f t="shared" si="15"/>
        <v>Valid</v>
      </c>
      <c r="L169" t="str">
        <f>IF(B169="","Missing Product ID",IF(COUNTIF(Product_Master!A:A,B169)&gt;0,"Found","Not Found"))</f>
        <v>Found</v>
      </c>
      <c r="M169" t="str">
        <f t="shared" si="16"/>
        <v>Valid Date</v>
      </c>
      <c r="N169" t="str">
        <f t="shared" si="17"/>
        <v>Good</v>
      </c>
    </row>
    <row r="170" spans="1:14" x14ac:dyDescent="0.45">
      <c r="A170" t="s">
        <v>382</v>
      </c>
      <c r="B170" t="s">
        <v>145</v>
      </c>
      <c r="C170" s="5">
        <v>46267</v>
      </c>
      <c r="D170">
        <v>500</v>
      </c>
      <c r="E170">
        <v>7</v>
      </c>
      <c r="F170">
        <v>200</v>
      </c>
      <c r="G170" t="str">
        <f>IF(B170="","Missing Product ID","Present")</f>
        <v>Present</v>
      </c>
      <c r="H170" t="str">
        <f t="shared" si="12"/>
        <v>Unique</v>
      </c>
      <c r="I170" t="str">
        <f t="shared" si="13"/>
        <v>Valid</v>
      </c>
      <c r="J170" t="str">
        <f t="shared" si="14"/>
        <v>Valid</v>
      </c>
      <c r="K170" t="str">
        <f t="shared" si="15"/>
        <v>Valid</v>
      </c>
      <c r="L170" t="str">
        <f>IF(B170="","Missing Product ID",IF(COUNTIF(Product_Master!A:A,B170)&gt;0,"Found","Not Found"))</f>
        <v>Found</v>
      </c>
      <c r="M170" t="str">
        <f t="shared" si="16"/>
        <v>Valid Date</v>
      </c>
      <c r="N170" t="str">
        <f t="shared" si="17"/>
        <v>Good</v>
      </c>
    </row>
    <row r="171" spans="1:14" x14ac:dyDescent="0.45">
      <c r="A171" t="s">
        <v>383</v>
      </c>
      <c r="B171" t="s">
        <v>167</v>
      </c>
      <c r="C171" s="5">
        <v>46136</v>
      </c>
      <c r="D171">
        <v>150</v>
      </c>
      <c r="E171">
        <v>5</v>
      </c>
      <c r="F171">
        <v>150</v>
      </c>
      <c r="G171" t="str">
        <f>IF(B171="","Missing Product ID","Present")</f>
        <v>Present</v>
      </c>
      <c r="H171" t="str">
        <f t="shared" si="12"/>
        <v>Unique</v>
      </c>
      <c r="I171" t="str">
        <f t="shared" si="13"/>
        <v>Valid</v>
      </c>
      <c r="J171" t="str">
        <f t="shared" si="14"/>
        <v>Valid</v>
      </c>
      <c r="K171" t="str">
        <f t="shared" si="15"/>
        <v>Valid</v>
      </c>
      <c r="L171" t="str">
        <f>IF(B171="","Missing Product ID",IF(COUNTIF(Product_Master!A:A,B171)&gt;0,"Found","Not Found"))</f>
        <v>Found</v>
      </c>
      <c r="M171" t="str">
        <f t="shared" si="16"/>
        <v>Valid Date</v>
      </c>
      <c r="N171" t="str">
        <f t="shared" si="17"/>
        <v>Good</v>
      </c>
    </row>
    <row r="172" spans="1:14" x14ac:dyDescent="0.45">
      <c r="A172" t="s">
        <v>384</v>
      </c>
      <c r="B172" t="s">
        <v>31</v>
      </c>
      <c r="C172" s="5">
        <v>46240</v>
      </c>
      <c r="D172">
        <v>500</v>
      </c>
      <c r="E172">
        <v>3</v>
      </c>
      <c r="F172">
        <v>50</v>
      </c>
      <c r="G172" t="str">
        <f>IF(B172="","Missing Product ID","Present")</f>
        <v>Present</v>
      </c>
      <c r="H172" t="str">
        <f t="shared" si="12"/>
        <v>Unique</v>
      </c>
      <c r="I172" t="str">
        <f t="shared" si="13"/>
        <v>Valid</v>
      </c>
      <c r="J172" t="str">
        <f t="shared" si="14"/>
        <v>Valid</v>
      </c>
      <c r="K172" t="str">
        <f t="shared" si="15"/>
        <v>Valid</v>
      </c>
      <c r="L172" t="str">
        <f>IF(B172="","Missing Product ID",IF(COUNTIF(Product_Master!A:A,B172)&gt;0,"Found","Not Found"))</f>
        <v>Found</v>
      </c>
      <c r="M172" t="str">
        <f t="shared" si="16"/>
        <v>Valid Date</v>
      </c>
      <c r="N172" t="str">
        <f t="shared" si="17"/>
        <v>Good</v>
      </c>
    </row>
    <row r="173" spans="1:14" x14ac:dyDescent="0.45">
      <c r="A173" t="s">
        <v>385</v>
      </c>
      <c r="B173" t="s">
        <v>185</v>
      </c>
      <c r="C173" s="5">
        <v>46199</v>
      </c>
      <c r="D173">
        <v>300</v>
      </c>
      <c r="E173">
        <v>2</v>
      </c>
      <c r="F173">
        <v>50</v>
      </c>
      <c r="G173" t="str">
        <f>IF(B173="","Missing Product ID","Present")</f>
        <v>Present</v>
      </c>
      <c r="H173" t="str">
        <f t="shared" si="12"/>
        <v>Unique</v>
      </c>
      <c r="I173" t="str">
        <f t="shared" si="13"/>
        <v>Valid</v>
      </c>
      <c r="J173" t="str">
        <f t="shared" si="14"/>
        <v>Valid</v>
      </c>
      <c r="K173" t="str">
        <f t="shared" si="15"/>
        <v>Valid</v>
      </c>
      <c r="L173" t="str">
        <f>IF(B173="","Missing Product ID",IF(COUNTIF(Product_Master!A:A,B173)&gt;0,"Found","Not Found"))</f>
        <v>Found</v>
      </c>
      <c r="M173" t="str">
        <f t="shared" si="16"/>
        <v>Valid Date</v>
      </c>
      <c r="N173" t="str">
        <f t="shared" si="17"/>
        <v>Good</v>
      </c>
    </row>
    <row r="174" spans="1:14" x14ac:dyDescent="0.45">
      <c r="A174" t="s">
        <v>386</v>
      </c>
      <c r="B174" t="s">
        <v>23</v>
      </c>
      <c r="C174" s="5">
        <v>46208</v>
      </c>
      <c r="D174">
        <v>300</v>
      </c>
      <c r="E174">
        <v>7</v>
      </c>
      <c r="F174">
        <v>150</v>
      </c>
      <c r="G174" t="str">
        <f>IF(B174="","Missing Product ID","Present")</f>
        <v>Present</v>
      </c>
      <c r="H174" t="str">
        <f t="shared" si="12"/>
        <v>Unique</v>
      </c>
      <c r="I174" t="str">
        <f t="shared" si="13"/>
        <v>Valid</v>
      </c>
      <c r="J174" t="str">
        <f t="shared" si="14"/>
        <v>Valid</v>
      </c>
      <c r="K174" t="str">
        <f t="shared" si="15"/>
        <v>Valid</v>
      </c>
      <c r="L174" t="str">
        <f>IF(B174="","Missing Product ID",IF(COUNTIF(Product_Master!A:A,B174)&gt;0,"Found","Not Found"))</f>
        <v>Found</v>
      </c>
      <c r="M174" t="str">
        <f t="shared" si="16"/>
        <v>Valid Date</v>
      </c>
      <c r="N174" t="str">
        <f t="shared" si="17"/>
        <v>Good</v>
      </c>
    </row>
    <row r="175" spans="1:14" x14ac:dyDescent="0.45">
      <c r="A175" t="s">
        <v>387</v>
      </c>
      <c r="B175" t="s">
        <v>71</v>
      </c>
      <c r="C175" s="5">
        <v>46352</v>
      </c>
      <c r="D175">
        <v>1000</v>
      </c>
      <c r="E175">
        <v>8</v>
      </c>
      <c r="F175">
        <v>250</v>
      </c>
      <c r="G175" t="str">
        <f>IF(B175="","Missing Product ID","Present")</f>
        <v>Present</v>
      </c>
      <c r="H175" t="str">
        <f t="shared" si="12"/>
        <v>Unique</v>
      </c>
      <c r="I175" t="str">
        <f t="shared" si="13"/>
        <v>Valid</v>
      </c>
      <c r="J175" t="str">
        <f t="shared" si="14"/>
        <v>Valid</v>
      </c>
      <c r="K175" t="str">
        <f t="shared" si="15"/>
        <v>Valid</v>
      </c>
      <c r="L175" t="str">
        <f>IF(B175="","Missing Product ID",IF(COUNTIF(Product_Master!A:A,B175)&gt;0,"Found","Not Found"))</f>
        <v>Found</v>
      </c>
      <c r="M175" t="str">
        <f t="shared" si="16"/>
        <v>Valid Date</v>
      </c>
      <c r="N175" t="str">
        <f t="shared" si="17"/>
        <v>Good</v>
      </c>
    </row>
    <row r="176" spans="1:14" x14ac:dyDescent="0.45">
      <c r="A176" t="s">
        <v>388</v>
      </c>
      <c r="B176" t="s">
        <v>55</v>
      </c>
      <c r="C176" s="5">
        <v>46323</v>
      </c>
      <c r="D176">
        <v>200</v>
      </c>
      <c r="E176">
        <v>4</v>
      </c>
      <c r="F176">
        <v>50</v>
      </c>
      <c r="G176" t="str">
        <f>IF(B176="","Missing Product ID","Present")</f>
        <v>Present</v>
      </c>
      <c r="H176" t="str">
        <f t="shared" si="12"/>
        <v>Unique</v>
      </c>
      <c r="I176" t="str">
        <f t="shared" si="13"/>
        <v>Valid</v>
      </c>
      <c r="J176" t="str">
        <f t="shared" si="14"/>
        <v>Valid</v>
      </c>
      <c r="K176" t="str">
        <f t="shared" si="15"/>
        <v>Valid</v>
      </c>
      <c r="L176" t="str">
        <f>IF(B176="","Missing Product ID",IF(COUNTIF(Product_Master!A:A,B176)&gt;0,"Found","Not Found"))</f>
        <v>Found</v>
      </c>
      <c r="M176" t="str">
        <f t="shared" si="16"/>
        <v>Valid Date</v>
      </c>
      <c r="N176" t="str">
        <f t="shared" si="17"/>
        <v>Good</v>
      </c>
    </row>
    <row r="177" spans="1:14" x14ac:dyDescent="0.45">
      <c r="A177" t="s">
        <v>389</v>
      </c>
      <c r="B177" t="s">
        <v>105</v>
      </c>
      <c r="C177" s="5">
        <v>46089</v>
      </c>
      <c r="D177">
        <v>250</v>
      </c>
      <c r="E177">
        <v>9</v>
      </c>
      <c r="F177">
        <v>250</v>
      </c>
      <c r="G177" t="str">
        <f>IF(B177="","Missing Product ID","Present")</f>
        <v>Present</v>
      </c>
      <c r="H177" t="str">
        <f t="shared" si="12"/>
        <v>Unique</v>
      </c>
      <c r="I177" t="str">
        <f t="shared" si="13"/>
        <v>Valid</v>
      </c>
      <c r="J177" t="str">
        <f t="shared" si="14"/>
        <v>Valid</v>
      </c>
      <c r="K177" t="str">
        <f t="shared" si="15"/>
        <v>Valid</v>
      </c>
      <c r="L177" t="str">
        <f>IF(B177="","Missing Product ID",IF(COUNTIF(Product_Master!A:A,B177)&gt;0,"Found","Not Found"))</f>
        <v>Found</v>
      </c>
      <c r="M177" t="str">
        <f t="shared" si="16"/>
        <v>Valid Date</v>
      </c>
      <c r="N177" t="str">
        <f t="shared" si="17"/>
        <v>Good</v>
      </c>
    </row>
    <row r="178" spans="1:14" x14ac:dyDescent="0.45">
      <c r="A178" t="s">
        <v>390</v>
      </c>
      <c r="B178" t="s">
        <v>127</v>
      </c>
      <c r="C178" s="5">
        <v>46327</v>
      </c>
      <c r="D178">
        <v>300</v>
      </c>
      <c r="E178">
        <v>9</v>
      </c>
      <c r="F178">
        <v>150</v>
      </c>
      <c r="G178" t="str">
        <f>IF(B178="","Missing Product ID","Present")</f>
        <v>Present</v>
      </c>
      <c r="H178" t="str">
        <f t="shared" si="12"/>
        <v>Unique</v>
      </c>
      <c r="I178" t="str">
        <f t="shared" si="13"/>
        <v>Valid</v>
      </c>
      <c r="J178" t="str">
        <f t="shared" si="14"/>
        <v>Valid</v>
      </c>
      <c r="K178" t="str">
        <f t="shared" si="15"/>
        <v>Valid</v>
      </c>
      <c r="L178" t="str">
        <f>IF(B178="","Missing Product ID",IF(COUNTIF(Product_Master!A:A,B178)&gt;0,"Found","Not Found"))</f>
        <v>Found</v>
      </c>
      <c r="M178" t="str">
        <f t="shared" si="16"/>
        <v>Valid Date</v>
      </c>
      <c r="N178" t="str">
        <f t="shared" si="17"/>
        <v>Good</v>
      </c>
    </row>
    <row r="179" spans="1:14" x14ac:dyDescent="0.45">
      <c r="A179" t="s">
        <v>391</v>
      </c>
      <c r="B179" t="s">
        <v>127</v>
      </c>
      <c r="C179" s="5">
        <v>46068</v>
      </c>
      <c r="D179">
        <v>0</v>
      </c>
      <c r="E179">
        <v>10</v>
      </c>
      <c r="F179">
        <v>100</v>
      </c>
      <c r="G179" t="str">
        <f>IF(B179="","Missing Product ID","Present")</f>
        <v>Present</v>
      </c>
      <c r="H179" t="str">
        <f t="shared" si="12"/>
        <v>Unique</v>
      </c>
      <c r="I179" t="str">
        <f t="shared" si="13"/>
        <v>Invalid Quantity</v>
      </c>
      <c r="J179" t="str">
        <f t="shared" si="14"/>
        <v>Valid</v>
      </c>
      <c r="K179" t="str">
        <f t="shared" si="15"/>
        <v>Valid</v>
      </c>
      <c r="L179" t="str">
        <f>IF(B179="","Missing Product ID",IF(COUNTIF(Product_Master!A:A,B179)&gt;0,"Found","Not Found"))</f>
        <v>Found</v>
      </c>
      <c r="M179" t="str">
        <f t="shared" si="16"/>
        <v>Valid Date</v>
      </c>
      <c r="N179" t="str">
        <f t="shared" si="17"/>
        <v>Needs Review</v>
      </c>
    </row>
    <row r="180" spans="1:14" x14ac:dyDescent="0.45">
      <c r="A180" t="s">
        <v>392</v>
      </c>
      <c r="B180" t="s">
        <v>97</v>
      </c>
      <c r="C180" s="5">
        <v>46262</v>
      </c>
      <c r="D180">
        <v>300</v>
      </c>
      <c r="E180">
        <v>8</v>
      </c>
      <c r="F180">
        <v>150</v>
      </c>
      <c r="G180" t="str">
        <f>IF(B180="","Missing Product ID","Present")</f>
        <v>Present</v>
      </c>
      <c r="H180" t="str">
        <f t="shared" si="12"/>
        <v>Unique</v>
      </c>
      <c r="I180" t="str">
        <f t="shared" si="13"/>
        <v>Valid</v>
      </c>
      <c r="J180" t="str">
        <f t="shared" si="14"/>
        <v>Valid</v>
      </c>
      <c r="K180" t="str">
        <f t="shared" si="15"/>
        <v>Valid</v>
      </c>
      <c r="L180" t="str">
        <f>IF(B180="","Missing Product ID",IF(COUNTIF(Product_Master!A:A,B180)&gt;0,"Found","Not Found"))</f>
        <v>Found</v>
      </c>
      <c r="M180" t="str">
        <f t="shared" si="16"/>
        <v>Valid Date</v>
      </c>
      <c r="N180" t="str">
        <f t="shared" si="17"/>
        <v>Good</v>
      </c>
    </row>
    <row r="181" spans="1:14" x14ac:dyDescent="0.45">
      <c r="A181" t="s">
        <v>393</v>
      </c>
      <c r="B181" t="s">
        <v>85</v>
      </c>
      <c r="C181" s="5">
        <v>46061</v>
      </c>
      <c r="D181">
        <v>250</v>
      </c>
      <c r="E181">
        <v>8</v>
      </c>
      <c r="F181">
        <v>200</v>
      </c>
      <c r="G181" t="str">
        <f>IF(B181="","Missing Product ID","Present")</f>
        <v>Present</v>
      </c>
      <c r="H181" t="str">
        <f t="shared" si="12"/>
        <v>Unique</v>
      </c>
      <c r="I181" t="str">
        <f t="shared" si="13"/>
        <v>Valid</v>
      </c>
      <c r="J181" t="str">
        <f t="shared" si="14"/>
        <v>Valid</v>
      </c>
      <c r="K181" t="str">
        <f t="shared" si="15"/>
        <v>Valid</v>
      </c>
      <c r="L181" t="str">
        <f>IF(B181="","Missing Product ID",IF(COUNTIF(Product_Master!A:A,B181)&gt;0,"Found","Not Found"))</f>
        <v>Found</v>
      </c>
      <c r="M181" t="str">
        <f t="shared" si="16"/>
        <v>Valid Date</v>
      </c>
      <c r="N181" t="str">
        <f t="shared" si="17"/>
        <v>Good</v>
      </c>
    </row>
    <row r="182" spans="1:14" x14ac:dyDescent="0.45">
      <c r="A182" t="s">
        <v>394</v>
      </c>
      <c r="B182" t="s">
        <v>105</v>
      </c>
      <c r="C182" s="5">
        <v>46049</v>
      </c>
      <c r="D182">
        <v>400</v>
      </c>
      <c r="E182">
        <v>6</v>
      </c>
      <c r="F182">
        <v>150</v>
      </c>
      <c r="G182" t="str">
        <f>IF(B182="","Missing Product ID","Present")</f>
        <v>Present</v>
      </c>
      <c r="H182" t="str">
        <f t="shared" si="12"/>
        <v>Unique</v>
      </c>
      <c r="I182" t="str">
        <f t="shared" si="13"/>
        <v>Valid</v>
      </c>
      <c r="J182" t="str">
        <f t="shared" si="14"/>
        <v>Valid</v>
      </c>
      <c r="K182" t="str">
        <f t="shared" si="15"/>
        <v>Valid</v>
      </c>
      <c r="L182" t="str">
        <f>IF(B182="","Missing Product ID",IF(COUNTIF(Product_Master!A:A,B182)&gt;0,"Found","Not Found"))</f>
        <v>Found</v>
      </c>
      <c r="M182" t="str">
        <f t="shared" si="16"/>
        <v>Valid Date</v>
      </c>
      <c r="N182" t="str">
        <f t="shared" si="17"/>
        <v>Good</v>
      </c>
    </row>
    <row r="183" spans="1:14" x14ac:dyDescent="0.45">
      <c r="A183" t="s">
        <v>395</v>
      </c>
      <c r="B183" t="s">
        <v>177</v>
      </c>
      <c r="C183" s="5">
        <v>46323</v>
      </c>
      <c r="D183">
        <v>500</v>
      </c>
      <c r="E183">
        <v>6</v>
      </c>
      <c r="F183">
        <v>50</v>
      </c>
      <c r="G183" t="str">
        <f>IF(B183="","Missing Product ID","Present")</f>
        <v>Present</v>
      </c>
      <c r="H183" t="str">
        <f t="shared" si="12"/>
        <v>Unique</v>
      </c>
      <c r="I183" t="str">
        <f t="shared" si="13"/>
        <v>Valid</v>
      </c>
      <c r="J183" t="str">
        <f t="shared" si="14"/>
        <v>Valid</v>
      </c>
      <c r="K183" t="str">
        <f t="shared" si="15"/>
        <v>Valid</v>
      </c>
      <c r="L183" t="str">
        <f>IF(B183="","Missing Product ID",IF(COUNTIF(Product_Master!A:A,B183)&gt;0,"Found","Not Found"))</f>
        <v>Found</v>
      </c>
      <c r="M183" t="str">
        <f t="shared" si="16"/>
        <v>Valid Date</v>
      </c>
      <c r="N183" t="str">
        <f t="shared" si="17"/>
        <v>Good</v>
      </c>
    </row>
    <row r="184" spans="1:14" x14ac:dyDescent="0.45">
      <c r="A184" t="s">
        <v>396</v>
      </c>
      <c r="B184" t="s">
        <v>183</v>
      </c>
      <c r="C184" s="5">
        <v>46132</v>
      </c>
      <c r="D184">
        <v>100</v>
      </c>
      <c r="E184">
        <v>9</v>
      </c>
      <c r="F184">
        <v>150</v>
      </c>
      <c r="G184" t="str">
        <f>IF(B184="","Missing Product ID","Present")</f>
        <v>Present</v>
      </c>
      <c r="H184" t="str">
        <f t="shared" si="12"/>
        <v>Unique</v>
      </c>
      <c r="I184" t="str">
        <f t="shared" si="13"/>
        <v>Valid</v>
      </c>
      <c r="J184" t="str">
        <f t="shared" si="14"/>
        <v>Valid</v>
      </c>
      <c r="K184" t="str">
        <f t="shared" si="15"/>
        <v>Valid</v>
      </c>
      <c r="L184" t="str">
        <f>IF(B184="","Missing Product ID",IF(COUNTIF(Product_Master!A:A,B184)&gt;0,"Found","Not Found"))</f>
        <v>Found</v>
      </c>
      <c r="M184" t="str">
        <f t="shared" si="16"/>
        <v>Valid Date</v>
      </c>
      <c r="N184" t="str">
        <f t="shared" si="17"/>
        <v>Good</v>
      </c>
    </row>
    <row r="185" spans="1:14" x14ac:dyDescent="0.45">
      <c r="A185" t="s">
        <v>397</v>
      </c>
      <c r="B185" t="s">
        <v>99</v>
      </c>
      <c r="C185" s="5">
        <v>46164</v>
      </c>
      <c r="D185">
        <v>250</v>
      </c>
      <c r="E185">
        <v>5</v>
      </c>
      <c r="F185">
        <v>250</v>
      </c>
      <c r="G185" t="str">
        <f>IF(B185="","Missing Product ID","Present")</f>
        <v>Present</v>
      </c>
      <c r="H185" t="str">
        <f t="shared" si="12"/>
        <v>Unique</v>
      </c>
      <c r="I185" t="str">
        <f t="shared" si="13"/>
        <v>Valid</v>
      </c>
      <c r="J185" t="str">
        <f t="shared" si="14"/>
        <v>Valid</v>
      </c>
      <c r="K185" t="str">
        <f t="shared" si="15"/>
        <v>Valid</v>
      </c>
      <c r="L185" t="str">
        <f>IF(B185="","Missing Product ID",IF(COUNTIF(Product_Master!A:A,B185)&gt;0,"Found","Not Found"))</f>
        <v>Found</v>
      </c>
      <c r="M185" t="str">
        <f t="shared" si="16"/>
        <v>Valid Date</v>
      </c>
      <c r="N185" t="str">
        <f t="shared" si="17"/>
        <v>Good</v>
      </c>
    </row>
    <row r="186" spans="1:14" x14ac:dyDescent="0.45">
      <c r="A186" t="s">
        <v>398</v>
      </c>
      <c r="B186" t="s">
        <v>201</v>
      </c>
      <c r="C186" s="5">
        <v>46168</v>
      </c>
      <c r="D186">
        <v>200</v>
      </c>
      <c r="E186">
        <v>3</v>
      </c>
      <c r="F186">
        <v>50</v>
      </c>
      <c r="G186" t="str">
        <f>IF(B186="","Missing Product ID","Present")</f>
        <v>Present</v>
      </c>
      <c r="H186" t="str">
        <f t="shared" si="12"/>
        <v>Unique</v>
      </c>
      <c r="I186" t="str">
        <f t="shared" si="13"/>
        <v>Valid</v>
      </c>
      <c r="J186" t="str">
        <f t="shared" si="14"/>
        <v>Valid</v>
      </c>
      <c r="K186" t="str">
        <f t="shared" si="15"/>
        <v>Valid</v>
      </c>
      <c r="L186" t="str">
        <f>IF(B186="","Missing Product ID",IF(COUNTIF(Product_Master!A:A,B186)&gt;0,"Found","Not Found"))</f>
        <v>Found</v>
      </c>
      <c r="M186" t="str">
        <f t="shared" si="16"/>
        <v>Valid Date</v>
      </c>
      <c r="N186" t="str">
        <f t="shared" si="17"/>
        <v>Good</v>
      </c>
    </row>
    <row r="187" spans="1:14" x14ac:dyDescent="0.45">
      <c r="A187" t="s">
        <v>399</v>
      </c>
      <c r="B187" t="s">
        <v>121</v>
      </c>
      <c r="C187" s="5">
        <v>46063</v>
      </c>
      <c r="D187">
        <v>100</v>
      </c>
      <c r="E187">
        <v>7</v>
      </c>
      <c r="F187">
        <v>100</v>
      </c>
      <c r="G187" t="str">
        <f>IF(B187="","Missing Product ID","Present")</f>
        <v>Present</v>
      </c>
      <c r="H187" t="str">
        <f t="shared" si="12"/>
        <v>Unique</v>
      </c>
      <c r="I187" t="str">
        <f t="shared" si="13"/>
        <v>Valid</v>
      </c>
      <c r="J187" t="str">
        <f t="shared" si="14"/>
        <v>Valid</v>
      </c>
      <c r="K187" t="str">
        <f t="shared" si="15"/>
        <v>Valid</v>
      </c>
      <c r="L187" t="str">
        <f>IF(B187="","Missing Product ID",IF(COUNTIF(Product_Master!A:A,B187)&gt;0,"Found","Not Found"))</f>
        <v>Found</v>
      </c>
      <c r="M187" t="str">
        <f t="shared" si="16"/>
        <v>Valid Date</v>
      </c>
      <c r="N187" t="str">
        <f t="shared" si="17"/>
        <v>Good</v>
      </c>
    </row>
    <row r="188" spans="1:14" x14ac:dyDescent="0.45">
      <c r="A188" t="s">
        <v>400</v>
      </c>
      <c r="B188" t="s">
        <v>91</v>
      </c>
      <c r="C188" s="5">
        <v>46107</v>
      </c>
      <c r="D188">
        <v>500</v>
      </c>
      <c r="E188">
        <v>4</v>
      </c>
      <c r="F188">
        <v>100</v>
      </c>
      <c r="G188" t="str">
        <f>IF(B188="","Missing Product ID","Present")</f>
        <v>Present</v>
      </c>
      <c r="H188" t="str">
        <f t="shared" si="12"/>
        <v>Unique</v>
      </c>
      <c r="I188" t="str">
        <f t="shared" si="13"/>
        <v>Valid</v>
      </c>
      <c r="J188" t="str">
        <f t="shared" si="14"/>
        <v>Valid</v>
      </c>
      <c r="K188" t="str">
        <f t="shared" si="15"/>
        <v>Valid</v>
      </c>
      <c r="L188" t="str">
        <f>IF(B188="","Missing Product ID",IF(COUNTIF(Product_Master!A:A,B188)&gt;0,"Found","Not Found"))</f>
        <v>Found</v>
      </c>
      <c r="M188" t="str">
        <f t="shared" si="16"/>
        <v>Valid Date</v>
      </c>
      <c r="N188" t="str">
        <f t="shared" si="17"/>
        <v>Good</v>
      </c>
    </row>
    <row r="189" spans="1:14" x14ac:dyDescent="0.45">
      <c r="A189" t="s">
        <v>401</v>
      </c>
      <c r="B189" t="s">
        <v>147</v>
      </c>
      <c r="C189" s="5">
        <v>46169</v>
      </c>
      <c r="D189">
        <v>400</v>
      </c>
      <c r="E189">
        <v>10</v>
      </c>
      <c r="F189">
        <v>250</v>
      </c>
      <c r="G189" t="str">
        <f>IF(B189="","Missing Product ID","Present")</f>
        <v>Present</v>
      </c>
      <c r="H189" t="str">
        <f t="shared" si="12"/>
        <v>Unique</v>
      </c>
      <c r="I189" t="str">
        <f t="shared" si="13"/>
        <v>Valid</v>
      </c>
      <c r="J189" t="str">
        <f t="shared" si="14"/>
        <v>Valid</v>
      </c>
      <c r="K189" t="str">
        <f t="shared" si="15"/>
        <v>Valid</v>
      </c>
      <c r="L189" t="str">
        <f>IF(B189="","Missing Product ID",IF(COUNTIF(Product_Master!A:A,B189)&gt;0,"Found","Not Found"))</f>
        <v>Found</v>
      </c>
      <c r="M189" t="str">
        <f t="shared" si="16"/>
        <v>Valid Date</v>
      </c>
      <c r="N189" t="str">
        <f t="shared" si="17"/>
        <v>Good</v>
      </c>
    </row>
    <row r="190" spans="1:14" x14ac:dyDescent="0.45">
      <c r="A190" t="s">
        <v>402</v>
      </c>
      <c r="B190" t="s">
        <v>51</v>
      </c>
      <c r="C190" s="5">
        <v>46384</v>
      </c>
      <c r="D190">
        <v>300</v>
      </c>
      <c r="E190">
        <v>9</v>
      </c>
      <c r="F190">
        <v>150</v>
      </c>
      <c r="G190" t="str">
        <f>IF(B190="","Missing Product ID","Present")</f>
        <v>Present</v>
      </c>
      <c r="H190" t="str">
        <f t="shared" si="12"/>
        <v>Unique</v>
      </c>
      <c r="I190" t="str">
        <f t="shared" si="13"/>
        <v>Valid</v>
      </c>
      <c r="J190" t="str">
        <f t="shared" si="14"/>
        <v>Valid</v>
      </c>
      <c r="K190" t="str">
        <f t="shared" si="15"/>
        <v>Valid</v>
      </c>
      <c r="L190" t="str">
        <f>IF(B190="","Missing Product ID",IF(COUNTIF(Product_Master!A:A,B190)&gt;0,"Found","Not Found"))</f>
        <v>Found</v>
      </c>
      <c r="M190" t="str">
        <f t="shared" si="16"/>
        <v>Valid Date</v>
      </c>
      <c r="N190" t="str">
        <f t="shared" si="17"/>
        <v>Good</v>
      </c>
    </row>
    <row r="191" spans="1:14" x14ac:dyDescent="0.45">
      <c r="A191" t="s">
        <v>403</v>
      </c>
      <c r="B191" t="s">
        <v>95</v>
      </c>
      <c r="C191" s="5">
        <v>46106</v>
      </c>
      <c r="D191">
        <v>150</v>
      </c>
      <c r="E191">
        <v>9</v>
      </c>
      <c r="F191">
        <v>50</v>
      </c>
      <c r="G191" t="str">
        <f>IF(B191="","Missing Product ID","Present")</f>
        <v>Present</v>
      </c>
      <c r="H191" t="str">
        <f t="shared" si="12"/>
        <v>Unique</v>
      </c>
      <c r="I191" t="str">
        <f t="shared" si="13"/>
        <v>Valid</v>
      </c>
      <c r="J191" t="str">
        <f t="shared" si="14"/>
        <v>Valid</v>
      </c>
      <c r="K191" t="str">
        <f t="shared" si="15"/>
        <v>Valid</v>
      </c>
      <c r="L191" t="str">
        <f>IF(B191="","Missing Product ID",IF(COUNTIF(Product_Master!A:A,B191)&gt;0,"Found","Not Found"))</f>
        <v>Found</v>
      </c>
      <c r="M191" t="str">
        <f t="shared" si="16"/>
        <v>Valid Date</v>
      </c>
      <c r="N191" t="str">
        <f t="shared" si="17"/>
        <v>Good</v>
      </c>
    </row>
    <row r="192" spans="1:14" x14ac:dyDescent="0.45">
      <c r="A192" t="s">
        <v>404</v>
      </c>
      <c r="B192" t="s">
        <v>16</v>
      </c>
      <c r="C192" s="5">
        <v>46079</v>
      </c>
      <c r="D192">
        <v>500</v>
      </c>
      <c r="E192">
        <v>10</v>
      </c>
      <c r="F192">
        <v>150</v>
      </c>
      <c r="G192" t="str">
        <f>IF(B192="","Missing Product ID","Present")</f>
        <v>Present</v>
      </c>
      <c r="H192" t="str">
        <f t="shared" si="12"/>
        <v>Unique</v>
      </c>
      <c r="I192" t="str">
        <f t="shared" si="13"/>
        <v>Valid</v>
      </c>
      <c r="J192" t="str">
        <f t="shared" si="14"/>
        <v>Valid</v>
      </c>
      <c r="K192" t="str">
        <f t="shared" si="15"/>
        <v>Valid</v>
      </c>
      <c r="L192" t="str">
        <f>IF(B192="","Missing Product ID",IF(COUNTIF(Product_Master!A:A,B192)&gt;0,"Found","Not Found"))</f>
        <v>Found</v>
      </c>
      <c r="M192" t="str">
        <f t="shared" si="16"/>
        <v>Valid Date</v>
      </c>
      <c r="N192" t="str">
        <f t="shared" si="17"/>
        <v>Good</v>
      </c>
    </row>
    <row r="193" spans="1:14" x14ac:dyDescent="0.45">
      <c r="A193" t="s">
        <v>405</v>
      </c>
      <c r="B193" t="s">
        <v>109</v>
      </c>
      <c r="C193" s="5">
        <v>46068</v>
      </c>
      <c r="D193">
        <v>100</v>
      </c>
      <c r="E193">
        <v>6</v>
      </c>
      <c r="F193">
        <v>250</v>
      </c>
      <c r="G193" t="str">
        <f>IF(B193="","Missing Product ID","Present")</f>
        <v>Present</v>
      </c>
      <c r="H193" t="str">
        <f t="shared" si="12"/>
        <v>Unique</v>
      </c>
      <c r="I193" t="str">
        <f t="shared" si="13"/>
        <v>Valid</v>
      </c>
      <c r="J193" t="str">
        <f t="shared" si="14"/>
        <v>Valid</v>
      </c>
      <c r="K193" t="str">
        <f t="shared" si="15"/>
        <v>Valid</v>
      </c>
      <c r="L193" t="str">
        <f>IF(B193="","Missing Product ID",IF(COUNTIF(Product_Master!A:A,B193)&gt;0,"Found","Not Found"))</f>
        <v>Found</v>
      </c>
      <c r="M193" t="str">
        <f t="shared" si="16"/>
        <v>Valid Date</v>
      </c>
      <c r="N193" t="str">
        <f t="shared" si="17"/>
        <v>Good</v>
      </c>
    </row>
    <row r="194" spans="1:14" x14ac:dyDescent="0.45">
      <c r="A194" t="s">
        <v>406</v>
      </c>
      <c r="B194" t="s">
        <v>103</v>
      </c>
      <c r="C194" s="5">
        <v>46075</v>
      </c>
      <c r="D194">
        <v>300</v>
      </c>
      <c r="E194">
        <v>8</v>
      </c>
      <c r="F194">
        <v>150</v>
      </c>
      <c r="G194" t="str">
        <f>IF(B194="","Missing Product ID","Present")</f>
        <v>Present</v>
      </c>
      <c r="H194" t="str">
        <f t="shared" si="12"/>
        <v>Unique</v>
      </c>
      <c r="I194" t="str">
        <f t="shared" si="13"/>
        <v>Valid</v>
      </c>
      <c r="J194" t="str">
        <f t="shared" si="14"/>
        <v>Valid</v>
      </c>
      <c r="K194" t="str">
        <f t="shared" si="15"/>
        <v>Valid</v>
      </c>
      <c r="L194" t="str">
        <f>IF(B194="","Missing Product ID",IF(COUNTIF(Product_Master!A:A,B194)&gt;0,"Found","Not Found"))</f>
        <v>Found</v>
      </c>
      <c r="M194" t="str">
        <f t="shared" si="16"/>
        <v>Valid Date</v>
      </c>
      <c r="N194" t="str">
        <f t="shared" si="17"/>
        <v>Good</v>
      </c>
    </row>
    <row r="195" spans="1:14" x14ac:dyDescent="0.45">
      <c r="A195" t="s">
        <v>407</v>
      </c>
      <c r="B195" t="s">
        <v>67</v>
      </c>
      <c r="C195" s="5">
        <v>46276</v>
      </c>
      <c r="D195">
        <v>750</v>
      </c>
      <c r="E195">
        <v>2</v>
      </c>
      <c r="F195">
        <v>250</v>
      </c>
      <c r="G195" t="str">
        <f>IF(B195="","Missing Product ID","Present")</f>
        <v>Present</v>
      </c>
      <c r="H195" t="str">
        <f t="shared" ref="H195:H201" si="18">IF(COUNTIF(A:A,A195)&gt;1,"Duplicate","Unique")</f>
        <v>Unique</v>
      </c>
      <c r="I195" t="str">
        <f t="shared" ref="I195:I201" si="19">IF(D195="","Missing",IF(D195&lt;=0,"Invalid Quantity","Valid"))</f>
        <v>Valid</v>
      </c>
      <c r="J195" t="str">
        <f t="shared" ref="J195:J201" si="20">IF(E195="","Missing",IF(E195&lt;=0,"Invalid Lead Time","Valid"))</f>
        <v>Valid</v>
      </c>
      <c r="K195" t="str">
        <f t="shared" ref="K195:K201" si="21">IF(F195="","Missing",IF(F195&lt;=0,"Invalid","Valid"))</f>
        <v>Valid</v>
      </c>
      <c r="L195" t="str">
        <f>IF(B195="","Missing Product ID",IF(COUNTIF(Product_Master!A:A,B195)&gt;0,"Found","Not Found"))</f>
        <v>Found</v>
      </c>
      <c r="M195" t="str">
        <f t="shared" ref="M195:M201" si="22">IF(C195="","Missing Date",IF(ISNUMBER(C195),"Valid Date","Invalid Date"))</f>
        <v>Valid Date</v>
      </c>
      <c r="N195" t="str">
        <f t="shared" ref="N195:N201" si="23">IF(OR(H195="Duplicate",I195&lt;&gt;"Valid",J195&lt;&gt;"Valid",K195&lt;&gt;"Valid",L195&lt;&gt;"Found",M195&lt;&gt;"Valid Date"),"Needs Review","Good")</f>
        <v>Good</v>
      </c>
    </row>
    <row r="196" spans="1:14" x14ac:dyDescent="0.45">
      <c r="A196" t="s">
        <v>408</v>
      </c>
      <c r="B196" t="s">
        <v>165</v>
      </c>
      <c r="C196" s="5">
        <v>46366</v>
      </c>
      <c r="D196">
        <v>250</v>
      </c>
      <c r="E196">
        <v>3</v>
      </c>
      <c r="F196">
        <v>200</v>
      </c>
      <c r="G196" t="str">
        <f>IF(B196="","Missing Product ID","Present")</f>
        <v>Present</v>
      </c>
      <c r="H196" t="str">
        <f t="shared" si="18"/>
        <v>Unique</v>
      </c>
      <c r="I196" t="str">
        <f t="shared" si="19"/>
        <v>Valid</v>
      </c>
      <c r="J196" t="str">
        <f t="shared" si="20"/>
        <v>Valid</v>
      </c>
      <c r="K196" t="str">
        <f t="shared" si="21"/>
        <v>Valid</v>
      </c>
      <c r="L196" t="str">
        <f>IF(B196="","Missing Product ID",IF(COUNTIF(Product_Master!A:A,B196)&gt;0,"Found","Not Found"))</f>
        <v>Found</v>
      </c>
      <c r="M196" t="str">
        <f t="shared" si="22"/>
        <v>Valid Date</v>
      </c>
      <c r="N196" t="str">
        <f t="shared" si="23"/>
        <v>Good</v>
      </c>
    </row>
    <row r="197" spans="1:14" x14ac:dyDescent="0.45">
      <c r="A197" t="s">
        <v>409</v>
      </c>
      <c r="B197" t="s">
        <v>175</v>
      </c>
      <c r="C197" s="5">
        <v>46024</v>
      </c>
      <c r="D197">
        <v>500</v>
      </c>
      <c r="E197">
        <v>3</v>
      </c>
      <c r="F197">
        <v>100</v>
      </c>
      <c r="G197" t="str">
        <f>IF(B197="","Missing Product ID","Present")</f>
        <v>Present</v>
      </c>
      <c r="H197" t="str">
        <f t="shared" si="18"/>
        <v>Unique</v>
      </c>
      <c r="I197" t="str">
        <f t="shared" si="19"/>
        <v>Valid</v>
      </c>
      <c r="J197" t="str">
        <f t="shared" si="20"/>
        <v>Valid</v>
      </c>
      <c r="K197" t="str">
        <f t="shared" si="21"/>
        <v>Valid</v>
      </c>
      <c r="L197" t="str">
        <f>IF(B197="","Missing Product ID",IF(COUNTIF(Product_Master!A:A,B197)&gt;0,"Found","Not Found"))</f>
        <v>Found</v>
      </c>
      <c r="M197" t="str">
        <f t="shared" si="22"/>
        <v>Valid Date</v>
      </c>
      <c r="N197" t="str">
        <f t="shared" si="23"/>
        <v>Good</v>
      </c>
    </row>
    <row r="198" spans="1:14" x14ac:dyDescent="0.45">
      <c r="A198" t="s">
        <v>410</v>
      </c>
      <c r="B198" t="s">
        <v>85</v>
      </c>
      <c r="C198" s="5">
        <v>46130</v>
      </c>
      <c r="D198">
        <v>750</v>
      </c>
      <c r="E198">
        <v>3</v>
      </c>
      <c r="F198">
        <v>50</v>
      </c>
      <c r="G198" t="str">
        <f>IF(B198="","Missing Product ID","Present")</f>
        <v>Present</v>
      </c>
      <c r="H198" t="str">
        <f t="shared" si="18"/>
        <v>Unique</v>
      </c>
      <c r="I198" t="str">
        <f t="shared" si="19"/>
        <v>Valid</v>
      </c>
      <c r="J198" t="str">
        <f t="shared" si="20"/>
        <v>Valid</v>
      </c>
      <c r="K198" t="str">
        <f t="shared" si="21"/>
        <v>Valid</v>
      </c>
      <c r="L198" t="str">
        <f>IF(B198="","Missing Product ID",IF(COUNTIF(Product_Master!A:A,B198)&gt;0,"Found","Not Found"))</f>
        <v>Found</v>
      </c>
      <c r="M198" t="str">
        <f t="shared" si="22"/>
        <v>Valid Date</v>
      </c>
      <c r="N198" t="str">
        <f t="shared" si="23"/>
        <v>Good</v>
      </c>
    </row>
    <row r="199" spans="1:14" x14ac:dyDescent="0.45">
      <c r="A199" t="s">
        <v>411</v>
      </c>
      <c r="B199" t="s">
        <v>43</v>
      </c>
      <c r="C199" s="5">
        <v>46350</v>
      </c>
      <c r="D199">
        <v>500</v>
      </c>
      <c r="E199">
        <v>9</v>
      </c>
      <c r="F199">
        <v>150</v>
      </c>
      <c r="G199" t="str">
        <f>IF(B199="","Missing Product ID","Present")</f>
        <v>Present</v>
      </c>
      <c r="H199" t="str">
        <f t="shared" si="18"/>
        <v>Unique</v>
      </c>
      <c r="I199" t="str">
        <f t="shared" si="19"/>
        <v>Valid</v>
      </c>
      <c r="J199" t="str">
        <f t="shared" si="20"/>
        <v>Valid</v>
      </c>
      <c r="K199" t="str">
        <f t="shared" si="21"/>
        <v>Valid</v>
      </c>
      <c r="L199" t="str">
        <f>IF(B199="","Missing Product ID",IF(COUNTIF(Product_Master!A:A,B199)&gt;0,"Found","Not Found"))</f>
        <v>Found</v>
      </c>
      <c r="M199" t="str">
        <f t="shared" si="22"/>
        <v>Valid Date</v>
      </c>
      <c r="N199" t="str">
        <f t="shared" si="23"/>
        <v>Good</v>
      </c>
    </row>
    <row r="200" spans="1:14" x14ac:dyDescent="0.45">
      <c r="A200" t="s">
        <v>412</v>
      </c>
      <c r="B200" t="s">
        <v>187</v>
      </c>
      <c r="C200" s="5">
        <v>46380</v>
      </c>
      <c r="D200">
        <v>1000</v>
      </c>
      <c r="E200">
        <v>8</v>
      </c>
      <c r="F200">
        <v>250</v>
      </c>
      <c r="G200" t="str">
        <f>IF(B200="","Missing Product ID","Present")</f>
        <v>Present</v>
      </c>
      <c r="H200" t="str">
        <f t="shared" si="18"/>
        <v>Unique</v>
      </c>
      <c r="I200" t="str">
        <f t="shared" si="19"/>
        <v>Valid</v>
      </c>
      <c r="J200" t="str">
        <f t="shared" si="20"/>
        <v>Valid</v>
      </c>
      <c r="K200" t="str">
        <f t="shared" si="21"/>
        <v>Valid</v>
      </c>
      <c r="L200" t="str">
        <f>IF(B200="","Missing Product ID",IF(COUNTIF(Product_Master!A:A,B200)&gt;0,"Found","Not Found"))</f>
        <v>Found</v>
      </c>
      <c r="M200" t="str">
        <f t="shared" si="22"/>
        <v>Valid Date</v>
      </c>
      <c r="N200" t="str">
        <f t="shared" si="23"/>
        <v>Good</v>
      </c>
    </row>
    <row r="201" spans="1:14" x14ac:dyDescent="0.45">
      <c r="A201" t="s">
        <v>413</v>
      </c>
      <c r="B201" t="s">
        <v>47</v>
      </c>
      <c r="C201" s="5">
        <v>46309</v>
      </c>
      <c r="D201">
        <v>500</v>
      </c>
      <c r="E201">
        <v>3</v>
      </c>
      <c r="G201" t="str">
        <f>IF(B201="","Missing Product ID","Present")</f>
        <v>Present</v>
      </c>
      <c r="H201" t="str">
        <f t="shared" si="18"/>
        <v>Unique</v>
      </c>
      <c r="I201" t="str">
        <f t="shared" si="19"/>
        <v>Valid</v>
      </c>
      <c r="J201" t="str">
        <f t="shared" si="20"/>
        <v>Valid</v>
      </c>
      <c r="K201" t="str">
        <f t="shared" si="21"/>
        <v>Missing</v>
      </c>
      <c r="L201" t="str">
        <f>IF(B201="","Missing Product ID",IF(COUNTIF(Product_Master!A:A,B201)&gt;0,"Found","Not Found"))</f>
        <v>Found</v>
      </c>
      <c r="M201" t="str">
        <f t="shared" si="22"/>
        <v>Valid Date</v>
      </c>
      <c r="N201" t="str">
        <f t="shared" si="23"/>
        <v>Needs Review</v>
      </c>
    </row>
  </sheetData>
  <autoFilter ref="N1:N2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 sqref="A1:B1"/>
    </sheetView>
  </sheetViews>
  <sheetFormatPr defaultRowHeight="14.25" x14ac:dyDescent="0.45"/>
  <cols>
    <col min="1" max="1" width="24" customWidth="1"/>
    <col min="2" max="2" width="95" customWidth="1"/>
  </cols>
  <sheetData>
    <row r="1" spans="1:2" ht="18" x14ac:dyDescent="0.45">
      <c r="A1" s="2" t="s">
        <v>414</v>
      </c>
      <c r="B1" s="3"/>
    </row>
    <row r="2" spans="1:2" x14ac:dyDescent="0.45">
      <c r="A2" t="s">
        <v>415</v>
      </c>
      <c r="B2" t="s">
        <v>416</v>
      </c>
    </row>
    <row r="3" spans="1:2" x14ac:dyDescent="0.45">
      <c r="A3" t="s">
        <v>417</v>
      </c>
      <c r="B3" t="s">
        <v>418</v>
      </c>
    </row>
    <row r="4" spans="1:2" x14ac:dyDescent="0.45">
      <c r="A4" t="s">
        <v>419</v>
      </c>
      <c r="B4" t="s">
        <v>420</v>
      </c>
    </row>
    <row r="5" spans="1:2" x14ac:dyDescent="0.45">
      <c r="A5" t="s">
        <v>421</v>
      </c>
      <c r="B5" t="s">
        <v>422</v>
      </c>
    </row>
    <row r="6" spans="1:2" x14ac:dyDescent="0.45">
      <c r="B6" t="s">
        <v>423</v>
      </c>
    </row>
    <row r="7" spans="1:2" x14ac:dyDescent="0.45">
      <c r="B7" t="s">
        <v>424</v>
      </c>
    </row>
    <row r="8" spans="1:2" x14ac:dyDescent="0.45">
      <c r="B8" t="s">
        <v>425</v>
      </c>
    </row>
    <row r="9" spans="1:2" x14ac:dyDescent="0.45">
      <c r="B9" t="s">
        <v>426</v>
      </c>
    </row>
    <row r="10" spans="1:2" x14ac:dyDescent="0.45">
      <c r="B10" t="s">
        <v>427</v>
      </c>
    </row>
    <row r="11" spans="1:2" x14ac:dyDescent="0.45">
      <c r="A11" t="s">
        <v>428</v>
      </c>
      <c r="B11" t="s">
        <v>429</v>
      </c>
    </row>
  </sheetData>
  <autoFilter ref="A1:B11" xr:uid="{00000000-0009-0000-0000-000002000000}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Planning_Data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ANILKUMAR SONAWANE</cp:lastModifiedBy>
  <dcterms:created xsi:type="dcterms:W3CDTF">2026-10-28T11:29:12Z</dcterms:created>
  <dcterms:modified xsi:type="dcterms:W3CDTF">2026-10-28T20:20:57Z</dcterms:modified>
</cp:coreProperties>
</file>